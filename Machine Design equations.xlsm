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xlma\Documents\BYU-I\..Sem 6 - Win 2019\ME 370 - Machine Design\"/>
    </mc:Choice>
  </mc:AlternateContent>
  <xr:revisionPtr revIDLastSave="0" documentId="13_ncr:1_{684DBEB5-F30D-4B9D-970D-0F82EC65509F}" xr6:coauthVersionLast="40" xr6:coauthVersionMax="40" xr10:uidLastSave="{00000000-0000-0000-0000-000000000000}"/>
  <bookViews>
    <workbookView xWindow="0" yWindow="0" windowWidth="20490" windowHeight="8940" xr2:uid="{3A1D00F6-B23D-4A71-8F7B-26B0C922D2C7}"/>
  </bookViews>
  <sheets>
    <sheet name="2D Mohr's Circle" sheetId="4" r:id="rId1"/>
    <sheet name="3D Mohr's Circle" sheetId="1" r:id="rId2"/>
    <sheet name="Centroids" sheetId="3" r:id="rId3"/>
    <sheet name="I (parallel axis)" sheetId="2" r:id="rId4"/>
    <sheet name="Press and shrink fit" sheetId="10" r:id="rId5"/>
    <sheet name="Contact Stresses" sheetId="11" r:id="rId6"/>
    <sheet name="Von Mesis" sheetId="8" r:id="rId7"/>
    <sheet name="Single load" sheetId="9" r:id="rId8"/>
    <sheet name="Stress in Pipes" sheetId="7" r:id="rId9"/>
    <sheet name="Hoist Joints" sheetId="5" r:id="rId10"/>
    <sheet name="Hoist internal stress" sheetId="6" r:id="rId11"/>
  </sheets>
  <definedNames>
    <definedName name="solver_adj" localSheetId="1" hidden="1">'3D Mohr''s Circle'!$B$10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'3D Mohr''s Circle'!$B$10</definedName>
    <definedName name="solver_lhs2" localSheetId="1" hidden="1">'3D Mohr''s Circle'!$B$10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'3D Mohr''s Circle'!$D$10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hs1" localSheetId="1" hidden="1">'3D Mohr''s Circle'!$B$9</definedName>
    <definedName name="solver_rhs2" localSheetId="1" hidden="1">'3D Mohr''s Circle'!$B$11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C11" i="1"/>
  <c r="B15" i="11" l="1"/>
  <c r="B12" i="11" l="1"/>
  <c r="B11" i="11"/>
  <c r="E11" i="11" l="1"/>
  <c r="E12" i="10"/>
  <c r="E11" i="10"/>
  <c r="E14" i="10" s="1"/>
  <c r="B8" i="10"/>
  <c r="B9" i="10"/>
  <c r="B11" i="10" l="1"/>
  <c r="B13" i="10" s="1"/>
  <c r="E12" i="11"/>
  <c r="E16" i="11" s="1"/>
  <c r="E15" i="10"/>
  <c r="B12" i="10" l="1"/>
  <c r="E16" i="10"/>
  <c r="C12" i="9"/>
  <c r="C10" i="9"/>
  <c r="C11" i="9" s="1"/>
  <c r="C9" i="9"/>
  <c r="C8" i="9"/>
  <c r="C11" i="8"/>
  <c r="C10" i="8"/>
  <c r="C9" i="8"/>
  <c r="C7" i="8"/>
  <c r="C6" i="8"/>
  <c r="C5" i="8"/>
  <c r="C18" i="9" l="1"/>
  <c r="C20" i="9"/>
  <c r="C16" i="9" s="1"/>
  <c r="C15" i="8"/>
  <c r="C16" i="8" s="1"/>
  <c r="C13" i="8"/>
  <c r="C14" i="8" s="1"/>
  <c r="C25" i="7"/>
  <c r="C26" i="7" s="1"/>
  <c r="C11" i="7"/>
  <c r="I10" i="7"/>
  <c r="C10" i="7"/>
  <c r="I9" i="7"/>
  <c r="I8" i="7"/>
  <c r="I7" i="7"/>
  <c r="I6" i="7"/>
  <c r="C6" i="7"/>
  <c r="I5" i="7"/>
  <c r="C5" i="7"/>
  <c r="C7" i="7" s="1"/>
  <c r="C8" i="7" s="1"/>
  <c r="I4" i="7"/>
  <c r="I3" i="7"/>
  <c r="I2" i="7"/>
  <c r="C12" i="7" l="1"/>
  <c r="C14" i="7" s="1"/>
  <c r="C13" i="7"/>
  <c r="C15" i="7" l="1"/>
  <c r="C20" i="7" s="1"/>
  <c r="C18" i="7"/>
  <c r="C17" i="7"/>
  <c r="C16" i="7" l="1"/>
  <c r="C19" i="7"/>
  <c r="C21" i="7"/>
  <c r="C22" i="7" s="1"/>
  <c r="C25" i="6" l="1"/>
  <c r="C23" i="6"/>
  <c r="C21" i="6"/>
  <c r="C22" i="6" s="1"/>
  <c r="C19" i="6"/>
  <c r="C18" i="6"/>
  <c r="C11" i="6"/>
  <c r="C5" i="6"/>
  <c r="C4" i="6"/>
  <c r="C12" i="6" s="1"/>
  <c r="B6" i="5"/>
  <c r="B5" i="5"/>
  <c r="B7" i="5" s="1"/>
  <c r="C35" i="6" l="1"/>
  <c r="C42" i="6" s="1"/>
  <c r="C14" i="6"/>
  <c r="C30" i="6" s="1"/>
  <c r="C44" i="6" s="1"/>
  <c r="C13" i="6"/>
  <c r="C29" i="6"/>
  <c r="C43" i="6" s="1"/>
  <c r="C27" i="6"/>
  <c r="C41" i="6" s="1"/>
  <c r="B9" i="5"/>
  <c r="B11" i="5" s="1"/>
  <c r="B8" i="5"/>
  <c r="B10" i="5" s="1"/>
  <c r="C20" i="6" l="1"/>
  <c r="C38" i="6" s="1"/>
  <c r="C15" i="6"/>
  <c r="C16" i="6"/>
  <c r="C31" i="6"/>
  <c r="C32" i="6"/>
  <c r="C46" i="6" s="1"/>
  <c r="C45" i="6" l="1"/>
  <c r="B12" i="1"/>
  <c r="B31" i="1" s="1"/>
  <c r="B13" i="1"/>
  <c r="E30" i="1" s="1"/>
  <c r="C10" i="1"/>
  <c r="B14" i="1"/>
  <c r="G30" i="1" s="1"/>
  <c r="F29" i="1" l="1"/>
  <c r="F45" i="1"/>
  <c r="F41" i="1"/>
  <c r="F37" i="1"/>
  <c r="F33" i="1"/>
  <c r="G29" i="1"/>
  <c r="F44" i="1"/>
  <c r="F40" i="1"/>
  <c r="F36" i="1"/>
  <c r="F32" i="1"/>
  <c r="F47" i="1"/>
  <c r="F43" i="1"/>
  <c r="F39" i="1"/>
  <c r="F35" i="1"/>
  <c r="F31" i="1"/>
  <c r="F46" i="1"/>
  <c r="F42" i="1"/>
  <c r="F38" i="1"/>
  <c r="F34" i="1"/>
  <c r="F30" i="1"/>
  <c r="B44" i="1"/>
  <c r="D29" i="1"/>
  <c r="E35" i="1"/>
  <c r="B40" i="1"/>
  <c r="E47" i="1"/>
  <c r="E31" i="1"/>
  <c r="B36" i="1"/>
  <c r="E43" i="1"/>
  <c r="B29" i="1"/>
  <c r="B32" i="1"/>
  <c r="E39" i="1"/>
  <c r="B46" i="1"/>
  <c r="B42" i="1"/>
  <c r="B38" i="1"/>
  <c r="B34" i="1"/>
  <c r="B30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E45" i="1"/>
  <c r="E41" i="1"/>
  <c r="E37" i="1"/>
  <c r="E33" i="1"/>
  <c r="B45" i="1"/>
  <c r="B41" i="1"/>
  <c r="B37" i="1"/>
  <c r="B33" i="1"/>
  <c r="C29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E29" i="1"/>
  <c r="E44" i="1"/>
  <c r="E40" i="1"/>
  <c r="E36" i="1"/>
  <c r="E32" i="1"/>
  <c r="B47" i="1"/>
  <c r="B43" i="1"/>
  <c r="B39" i="1"/>
  <c r="B35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E46" i="1"/>
  <c r="E42" i="1"/>
  <c r="E38" i="1"/>
  <c r="E34" i="1"/>
  <c r="D11" i="1" l="1"/>
  <c r="D10" i="1"/>
  <c r="D9" i="1"/>
  <c r="B8" i="4"/>
  <c r="A33" i="4"/>
  <c r="B31" i="4"/>
  <c r="B33" i="4" s="1"/>
  <c r="A31" i="4"/>
  <c r="B5" i="4"/>
  <c r="C18" i="4" l="1"/>
  <c r="C17" i="4"/>
  <c r="A32" i="4"/>
  <c r="B12" i="4"/>
  <c r="C29" i="4"/>
  <c r="C15" i="4"/>
  <c r="B29" i="4"/>
  <c r="C25" i="4"/>
  <c r="C21" i="4"/>
  <c r="C19" i="4"/>
  <c r="C13" i="4"/>
  <c r="C23" i="4"/>
  <c r="B25" i="4"/>
  <c r="B19" i="4"/>
  <c r="B17" i="4"/>
  <c r="B15" i="4"/>
  <c r="B13" i="4"/>
  <c r="C27" i="4"/>
  <c r="B23" i="4"/>
  <c r="C24" i="4"/>
  <c r="C12" i="4"/>
  <c r="B27" i="4"/>
  <c r="B21" i="4"/>
  <c r="B11" i="4"/>
  <c r="C28" i="4"/>
  <c r="C26" i="4"/>
  <c r="C22" i="4"/>
  <c r="C20" i="4"/>
  <c r="C16" i="4"/>
  <c r="C14" i="4"/>
  <c r="C11" i="4"/>
  <c r="B28" i="4"/>
  <c r="B26" i="4"/>
  <c r="B24" i="4"/>
  <c r="B22" i="4"/>
  <c r="B20" i="4"/>
  <c r="B18" i="4"/>
  <c r="B16" i="4"/>
  <c r="B14" i="4"/>
  <c r="B7" i="4"/>
  <c r="B6" i="4"/>
  <c r="F3" i="3"/>
  <c r="H5" i="3"/>
  <c r="F5" i="3"/>
  <c r="D5" i="3"/>
  <c r="H4" i="3"/>
  <c r="F4" i="3"/>
  <c r="D4" i="3"/>
  <c r="D3" i="3"/>
  <c r="H2" i="3"/>
  <c r="F2" i="3"/>
  <c r="D2" i="3"/>
  <c r="J2" i="3" s="1"/>
  <c r="K2" i="3" l="1"/>
  <c r="H3" i="3"/>
  <c r="L2" i="3" s="1"/>
  <c r="G5" i="2" l="1"/>
  <c r="F5" i="2"/>
  <c r="E5" i="2"/>
  <c r="I5" i="2" s="1"/>
  <c r="G4" i="2"/>
  <c r="E4" i="2"/>
  <c r="F4" i="2" s="1"/>
  <c r="E3" i="2"/>
  <c r="F3" i="2" s="1"/>
  <c r="G3" i="2"/>
  <c r="G2" i="2"/>
  <c r="E2" i="2"/>
  <c r="F2" i="2" s="1"/>
  <c r="J2" i="2" l="1"/>
  <c r="H2" i="2" l="1"/>
  <c r="I2" i="2" s="1"/>
  <c r="H4" i="2"/>
  <c r="I4" i="2" s="1"/>
  <c r="H3" i="2"/>
  <c r="I3" i="2" s="1"/>
  <c r="K2" i="2" l="1"/>
  <c r="L2" i="2" s="1"/>
</calcChain>
</file>

<file path=xl/sharedStrings.xml><?xml version="1.0" encoding="utf-8"?>
<sst xmlns="http://schemas.openxmlformats.org/spreadsheetml/2006/main" count="341" uniqueCount="183">
  <si>
    <t>Sigma y</t>
  </si>
  <si>
    <t>Sigma z</t>
  </si>
  <si>
    <t>Sigma x</t>
  </si>
  <si>
    <t>Txy</t>
  </si>
  <si>
    <t>Tyz</t>
  </si>
  <si>
    <t>Txz</t>
  </si>
  <si>
    <t>b</t>
  </si>
  <si>
    <t>h</t>
  </si>
  <si>
    <t>y~</t>
  </si>
  <si>
    <t>A</t>
  </si>
  <si>
    <t>Ay~</t>
  </si>
  <si>
    <t>I'</t>
  </si>
  <si>
    <t>d</t>
  </si>
  <si>
    <t>Ad^2</t>
  </si>
  <si>
    <t>ybar</t>
  </si>
  <si>
    <t>I</t>
  </si>
  <si>
    <t xml:space="preserve"> </t>
  </si>
  <si>
    <t>Area</t>
  </si>
  <si>
    <t>x distance</t>
  </si>
  <si>
    <t>Area*x</t>
  </si>
  <si>
    <t>y distance</t>
  </si>
  <si>
    <t>Area*y</t>
  </si>
  <si>
    <t>z distance</t>
  </si>
  <si>
    <t>Area*z</t>
  </si>
  <si>
    <t>Object 1</t>
  </si>
  <si>
    <t>Object 2</t>
  </si>
  <si>
    <t>Object 3</t>
  </si>
  <si>
    <t>Object 4</t>
  </si>
  <si>
    <t>x bar</t>
  </si>
  <si>
    <t>zbar</t>
  </si>
  <si>
    <t>J</t>
  </si>
  <si>
    <t>sigma x</t>
  </si>
  <si>
    <t>sigma y</t>
  </si>
  <si>
    <t>tau xy</t>
  </si>
  <si>
    <t>Sigma1</t>
  </si>
  <si>
    <t>Tau(max in plane)</t>
  </si>
  <si>
    <t>Sigma avg</t>
  </si>
  <si>
    <t>sigma</t>
  </si>
  <si>
    <t>tau</t>
  </si>
  <si>
    <t>angle</t>
  </si>
  <si>
    <t>(ccw- cw+)</t>
  </si>
  <si>
    <t>Sigma 1</t>
  </si>
  <si>
    <t>Sigma 3</t>
  </si>
  <si>
    <t>Sigma 2</t>
  </si>
  <si>
    <t>Tau 1/3</t>
  </si>
  <si>
    <t>Tau 2/3</t>
  </si>
  <si>
    <t>Tau 1/2</t>
  </si>
  <si>
    <t>Plot</t>
  </si>
  <si>
    <t>Angle</t>
  </si>
  <si>
    <t>Sigma</t>
  </si>
  <si>
    <t>Circle 1/3</t>
  </si>
  <si>
    <t>Circle 1/2</t>
  </si>
  <si>
    <t>Circle 2/3</t>
  </si>
  <si>
    <t>hoist</t>
  </si>
  <si>
    <t>AC</t>
  </si>
  <si>
    <t>BC</t>
  </si>
  <si>
    <t>theta</t>
  </si>
  <si>
    <t>phi</t>
  </si>
  <si>
    <t>BG</t>
  </si>
  <si>
    <t>Cy</t>
  </si>
  <si>
    <t>Cx</t>
  </si>
  <si>
    <t>C</t>
  </si>
  <si>
    <t>DF</t>
  </si>
  <si>
    <t>Dimentions</t>
  </si>
  <si>
    <t>in</t>
  </si>
  <si>
    <t>rad</t>
  </si>
  <si>
    <t>base</t>
  </si>
  <si>
    <t>height</t>
  </si>
  <si>
    <t>wall</t>
  </si>
  <si>
    <t>weight</t>
  </si>
  <si>
    <t>Joint stress</t>
  </si>
  <si>
    <t>lbs</t>
  </si>
  <si>
    <t>stress</t>
  </si>
  <si>
    <t>M</t>
  </si>
  <si>
    <t>in-lb</t>
  </si>
  <si>
    <t>v-left</t>
  </si>
  <si>
    <t>v-right</t>
  </si>
  <si>
    <t>in^4</t>
  </si>
  <si>
    <t>In^4</t>
  </si>
  <si>
    <t>Q</t>
  </si>
  <si>
    <t>in^3</t>
  </si>
  <si>
    <t>Normal y</t>
  </si>
  <si>
    <t>psi</t>
  </si>
  <si>
    <t>Sheer y</t>
  </si>
  <si>
    <t>Normal stress</t>
  </si>
  <si>
    <t>Sheer stress</t>
  </si>
  <si>
    <t>max in plane</t>
  </si>
  <si>
    <t>Description</t>
  </si>
  <si>
    <t>Value</t>
  </si>
  <si>
    <t>Units</t>
  </si>
  <si>
    <t>Pipe size</t>
  </si>
  <si>
    <t>OD</t>
  </si>
  <si>
    <t>ID</t>
  </si>
  <si>
    <t>D1</t>
  </si>
  <si>
    <t>1/8inch</t>
  </si>
  <si>
    <t>D2</t>
  </si>
  <si>
    <t>1/4inch</t>
  </si>
  <si>
    <t>1/2in</t>
  </si>
  <si>
    <t>3/8in</t>
  </si>
  <si>
    <t>3/4in</t>
  </si>
  <si>
    <t>1in</t>
  </si>
  <si>
    <t>1-1/4in</t>
  </si>
  <si>
    <t>External Load</t>
  </si>
  <si>
    <t>P</t>
  </si>
  <si>
    <t>lb</t>
  </si>
  <si>
    <t>1-1/2in</t>
  </si>
  <si>
    <t>2in</t>
  </si>
  <si>
    <t>T</t>
  </si>
  <si>
    <t>Stress</t>
  </si>
  <si>
    <t>Mohr's Circle</t>
  </si>
  <si>
    <t>Center</t>
  </si>
  <si>
    <t>Radius</t>
  </si>
  <si>
    <t>Principal Stressis</t>
  </si>
  <si>
    <t>sigma 1</t>
  </si>
  <si>
    <t>sigma 2</t>
  </si>
  <si>
    <t>ѳ Mohr</t>
  </si>
  <si>
    <t>deg</t>
  </si>
  <si>
    <t>ѳ Element</t>
  </si>
  <si>
    <t>Max in-plane Sheer Stress</t>
  </si>
  <si>
    <t>t max</t>
  </si>
  <si>
    <t>Allowable limits</t>
  </si>
  <si>
    <t>F.S.</t>
  </si>
  <si>
    <t>sigma allow</t>
  </si>
  <si>
    <t>tou allow</t>
  </si>
  <si>
    <t>input</t>
  </si>
  <si>
    <t>sigma A</t>
  </si>
  <si>
    <t>MPa</t>
  </si>
  <si>
    <t>sigma B</t>
  </si>
  <si>
    <t>Tau A/B</t>
  </si>
  <si>
    <t>Max</t>
  </si>
  <si>
    <t>B</t>
  </si>
  <si>
    <t>von meiss</t>
  </si>
  <si>
    <t>results</t>
  </si>
  <si>
    <t>factor of saftey</t>
  </si>
  <si>
    <t>von mesis</t>
  </si>
  <si>
    <t>N</t>
  </si>
  <si>
    <t>D</t>
  </si>
  <si>
    <t>mm</t>
  </si>
  <si>
    <t>X</t>
  </si>
  <si>
    <t>Y</t>
  </si>
  <si>
    <t>Z</t>
  </si>
  <si>
    <t>properties</t>
  </si>
  <si>
    <t>N-m</t>
  </si>
  <si>
    <t>m^4</t>
  </si>
  <si>
    <t>m^3</t>
  </si>
  <si>
    <t>element A</t>
  </si>
  <si>
    <t>element B</t>
  </si>
  <si>
    <t>(Ctrl+Shift+M)</t>
  </si>
  <si>
    <t>ri</t>
  </si>
  <si>
    <t>ro</t>
  </si>
  <si>
    <t>R</t>
  </si>
  <si>
    <t>delta</t>
  </si>
  <si>
    <t>E</t>
  </si>
  <si>
    <t>sigma ti</t>
  </si>
  <si>
    <t>sigma to</t>
  </si>
  <si>
    <t>r1</t>
  </si>
  <si>
    <t>r2</t>
  </si>
  <si>
    <t>Same material</t>
  </si>
  <si>
    <t>Different material</t>
  </si>
  <si>
    <t>E1</t>
  </si>
  <si>
    <t>E2</t>
  </si>
  <si>
    <t>vi</t>
  </si>
  <si>
    <t>vo</t>
  </si>
  <si>
    <t>Spherical Contact</t>
  </si>
  <si>
    <t>d1</t>
  </si>
  <si>
    <t>v1</t>
  </si>
  <si>
    <t>d2</t>
  </si>
  <si>
    <t>v2</t>
  </si>
  <si>
    <t>F</t>
  </si>
  <si>
    <t>Cylindrical Contact</t>
  </si>
  <si>
    <t>l</t>
  </si>
  <si>
    <t>a</t>
  </si>
  <si>
    <t>pmax</t>
  </si>
  <si>
    <t>sigmax</t>
  </si>
  <si>
    <t>sigmay</t>
  </si>
  <si>
    <t>sigmaz</t>
  </si>
  <si>
    <t>sigmax/y</t>
  </si>
  <si>
    <t>tau max</t>
  </si>
  <si>
    <t>(c- t+)</t>
  </si>
  <si>
    <t>Area (A) and I' are set up for rectangular area. It is possible to change this using this chart (courtesy of Wikipedia)</t>
  </si>
  <si>
    <t>area</t>
  </si>
  <si>
    <t>shape</t>
  </si>
  <si>
    <t>Shape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</si>
</sst>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/>
    <xf numFmtId="0" fontId="0" fillId="2" borderId="1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7" xfId="0" applyFill="1" applyBorder="1"/>
    <xf numFmtId="0" fontId="1" fillId="0" borderId="2" xfId="0" applyFont="1" applyBorder="1"/>
    <xf numFmtId="0" fontId="1" fillId="0" borderId="4" xfId="0" applyFont="1" applyBorder="1"/>
    <xf numFmtId="0" fontId="1" fillId="0" borderId="6" xfId="0" applyFont="1" applyBorder="1"/>
    <xf numFmtId="0" fontId="1" fillId="0" borderId="1" xfId="0" applyFont="1" applyBorder="1"/>
    <xf numFmtId="0" fontId="0" fillId="3" borderId="3" xfId="0" applyFill="1" applyBorder="1"/>
    <xf numFmtId="0" fontId="0" fillId="3" borderId="5" xfId="0" applyFill="1" applyBorder="1"/>
    <xf numFmtId="0" fontId="0" fillId="3" borderId="7" xfId="0" applyFill="1" applyBorder="1"/>
    <xf numFmtId="0" fontId="0" fillId="4" borderId="1" xfId="0" applyFill="1" applyBorder="1"/>
    <xf numFmtId="0" fontId="0" fillId="3" borderId="1" xfId="0" applyFill="1" applyBorder="1"/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4" fontId="0" fillId="0" borderId="18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right"/>
    </xf>
    <xf numFmtId="0" fontId="0" fillId="2" borderId="1" xfId="0" applyNumberFormat="1" applyFill="1" applyBorder="1"/>
    <xf numFmtId="0" fontId="0" fillId="6" borderId="1" xfId="0" applyFill="1" applyBorder="1"/>
    <xf numFmtId="0" fontId="0" fillId="0" borderId="16" xfId="0" applyBorder="1"/>
    <xf numFmtId="0" fontId="2" fillId="0" borderId="0" xfId="0" applyFont="1" applyAlignment="1">
      <alignment horizontal="center"/>
    </xf>
    <xf numFmtId="0" fontId="1" fillId="0" borderId="8" xfId="0" applyFont="1" applyFill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Alignment="1">
      <alignment horizontal="center"/>
    </xf>
    <xf numFmtId="0" fontId="4" fillId="0" borderId="4" xfId="0" applyFont="1" applyBorder="1" applyAlignment="1">
      <alignment horizontal="center" vertical="center" textRotation="90" wrapText="1"/>
    </xf>
    <xf numFmtId="0" fontId="4" fillId="0" borderId="6" xfId="0" applyFont="1" applyBorder="1" applyAlignment="1">
      <alignment horizontal="center" vertical="center" textRotation="90" wrapText="1"/>
    </xf>
    <xf numFmtId="0" fontId="4" fillId="0" borderId="2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00B050"/>
        </patternFill>
      </fill>
    </dxf>
    <dxf>
      <font>
        <color rgb="FF9C0006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159667541557303E-2"/>
          <c:y val="1.5851424060305177E-2"/>
          <c:w val="0.93750699912510937"/>
          <c:h val="0.96829715187938969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'2D Mohr''s Circle'!$B$11:$B$29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'2D Mohr''s Circle'!$C$11:$C$29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74-4D81-A00C-40553C91FAA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'2D Mohr''s Circle'!$A$31:$A$33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'2D Mohr''s Circle'!$B$31:$B$33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74-4D81-A00C-40553C91F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361736"/>
        <c:axId val="389358784"/>
      </c:scatterChart>
      <c:valAx>
        <c:axId val="38936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58784"/>
        <c:crosses val="autoZero"/>
        <c:crossBetween val="midCat"/>
      </c:valAx>
      <c:valAx>
        <c:axId val="38935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61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1/3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'3D Mohr''s Circle'!$B$29:$B$47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'3D Mohr''s Circle'!$C$29:$C$47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74-44AF-B49B-8E27641C3DE3}"/>
            </c:ext>
          </c:extLst>
        </c:ser>
        <c:ser>
          <c:idx val="1"/>
          <c:order val="1"/>
          <c:tx>
            <c:v>1/2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'3D Mohr''s Circle'!$D$29:$D$47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'3D Mohr''s Circle'!$E$29:$E$47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74-44AF-B49B-8E27641C3DE3}"/>
            </c:ext>
          </c:extLst>
        </c:ser>
        <c:ser>
          <c:idx val="2"/>
          <c:order val="2"/>
          <c:tx>
            <c:v>2/3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'3D Mohr''s Circle'!$F$29:$F$47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'3D Mohr''s Circle'!$G$29:$G$47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74-44AF-B49B-8E27641C3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371064"/>
        <c:axId val="387380904"/>
      </c:scatterChart>
      <c:valAx>
        <c:axId val="38737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380904"/>
        <c:crosses val="autoZero"/>
        <c:crossBetween val="midCat"/>
      </c:valAx>
      <c:valAx>
        <c:axId val="387380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371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180975</xdr:rowOff>
    </xdr:from>
    <xdr:to>
      <xdr:col>10</xdr:col>
      <xdr:colOff>28575</xdr:colOff>
      <xdr:row>19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963057-F939-4DDE-B1B6-04974E94EE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0</xdr:row>
      <xdr:rowOff>0</xdr:rowOff>
    </xdr:from>
    <xdr:to>
      <xdr:col>11</xdr:col>
      <xdr:colOff>295275</xdr:colOff>
      <xdr:row>18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B8B17F-6A73-49BC-AAE3-52F9836896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177512</xdr:colOff>
      <xdr:row>8</xdr:row>
      <xdr:rowOff>25111</xdr:rowOff>
    </xdr:from>
    <xdr:to>
      <xdr:col>2</xdr:col>
      <xdr:colOff>521093</xdr:colOff>
      <xdr:row>34</xdr:row>
      <xdr:rowOff>111702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16610F7-7A6C-4BAB-AE49-187F38607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7112" y="1549111"/>
          <a:ext cx="953181" cy="5039591"/>
        </a:xfrm>
        <a:prstGeom prst="rect">
          <a:avLst/>
        </a:prstGeom>
      </xdr:spPr>
    </xdr:pic>
    <xdr:clientData/>
  </xdr:twoCellAnchor>
  <xdr:twoCellAnchor editAs="oneCell">
    <xdr:from>
      <xdr:col>2</xdr:col>
      <xdr:colOff>511752</xdr:colOff>
      <xdr:row>8</xdr:row>
      <xdr:rowOff>25978</xdr:rowOff>
    </xdr:from>
    <xdr:to>
      <xdr:col>6</xdr:col>
      <xdr:colOff>70202</xdr:colOff>
      <xdr:row>34</xdr:row>
      <xdr:rowOff>161925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F3A639A-CD34-44B7-8E28-FF84A10A6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0952" y="1549978"/>
          <a:ext cx="1996850" cy="5088947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8</xdr:row>
      <xdr:rowOff>9525</xdr:rowOff>
    </xdr:from>
    <xdr:to>
      <xdr:col>10</xdr:col>
      <xdr:colOff>580390</xdr:colOff>
      <xdr:row>18</xdr:row>
      <xdr:rowOff>180975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2961363-0F45-4675-8AAD-D9E7734C2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76800" y="1533525"/>
          <a:ext cx="1799590" cy="2076450"/>
        </a:xfrm>
        <a:prstGeom prst="rect">
          <a:avLst/>
        </a:prstGeom>
      </xdr:spPr>
    </xdr:pic>
    <xdr:clientData/>
  </xdr:twoCellAnchor>
  <xdr:twoCellAnchor editAs="oneCell">
    <xdr:from>
      <xdr:col>8</xdr:col>
      <xdr:colOff>1</xdr:colOff>
      <xdr:row>18</xdr:row>
      <xdr:rowOff>171629</xdr:rowOff>
    </xdr:from>
    <xdr:to>
      <xdr:col>11</xdr:col>
      <xdr:colOff>295275</xdr:colOff>
      <xdr:row>39</xdr:row>
      <xdr:rowOff>148818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4949BF5-E352-4191-B487-BBD8F45840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76801" y="3600629"/>
          <a:ext cx="2124074" cy="3977689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39</xdr:row>
      <xdr:rowOff>150478</xdr:rowOff>
    </xdr:from>
    <xdr:to>
      <xdr:col>11</xdr:col>
      <xdr:colOff>485775</xdr:colOff>
      <xdr:row>60</xdr:row>
      <xdr:rowOff>170726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C15A205-0297-43DF-806E-8502791D3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876800" y="7579978"/>
          <a:ext cx="2314575" cy="40207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0</xdr:rowOff>
    </xdr:from>
    <xdr:to>
      <xdr:col>11</xdr:col>
      <xdr:colOff>457200</xdr:colOff>
      <xdr:row>20</xdr:row>
      <xdr:rowOff>152400</xdr:rowOff>
    </xdr:to>
    <xdr:pic>
      <xdr:nvPicPr>
        <xdr:cNvPr id="2" name="Picture 1" descr="file not found">
          <a:extLst>
            <a:ext uri="{FF2B5EF4-FFF2-40B4-BE49-F238E27FC236}">
              <a16:creationId xmlns:a16="http://schemas.microsoft.com/office/drawing/2014/main" id="{1E2B280A-74F5-4FA7-BCE0-51E81FA79B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0975" y="0"/>
          <a:ext cx="3810000" cy="396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285750</xdr:colOff>
      <xdr:row>1</xdr:row>
      <xdr:rowOff>28575</xdr:rowOff>
    </xdr:from>
    <xdr:to>
      <xdr:col>12</xdr:col>
      <xdr:colOff>438150</xdr:colOff>
      <xdr:row>17</xdr:row>
      <xdr:rowOff>28575</xdr:rowOff>
    </xdr:to>
    <xdr:pic>
      <xdr:nvPicPr>
        <xdr:cNvPr id="2" name="Picture 1" descr="file not found">
          <a:extLst>
            <a:ext uri="{FF2B5EF4-FFF2-40B4-BE49-F238E27FC236}">
              <a16:creationId xmlns:a16="http://schemas.microsoft.com/office/drawing/2014/main" id="{C229737F-2E70-4D8D-9405-934754C699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4410075"/>
          <a:ext cx="3810000" cy="304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7559</xdr:colOff>
      <xdr:row>0</xdr:row>
      <xdr:rowOff>0</xdr:rowOff>
    </xdr:from>
    <xdr:to>
      <xdr:col>9</xdr:col>
      <xdr:colOff>96333</xdr:colOff>
      <xdr:row>14</xdr:row>
      <xdr:rowOff>57150</xdr:rowOff>
    </xdr:to>
    <xdr:pic>
      <xdr:nvPicPr>
        <xdr:cNvPr id="2" name="Picture 1" descr="file not found">
          <a:extLst>
            <a:ext uri="{FF2B5EF4-FFF2-40B4-BE49-F238E27FC236}">
              <a16:creationId xmlns:a16="http://schemas.microsoft.com/office/drawing/2014/main" id="{383357C5-4242-4D04-B59D-B1F38D2340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6359" y="0"/>
          <a:ext cx="3746374" cy="272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285750</xdr:colOff>
      <xdr:row>0</xdr:row>
      <xdr:rowOff>0</xdr:rowOff>
    </xdr:from>
    <xdr:to>
      <xdr:col>15</xdr:col>
      <xdr:colOff>247650</xdr:colOff>
      <xdr:row>26</xdr:row>
      <xdr:rowOff>47625</xdr:rowOff>
    </xdr:to>
    <xdr:pic>
      <xdr:nvPicPr>
        <xdr:cNvPr id="2" name="Picture 1" descr="file not found">
          <a:extLst>
            <a:ext uri="{FF2B5EF4-FFF2-40B4-BE49-F238E27FC236}">
              <a16:creationId xmlns:a16="http://schemas.microsoft.com/office/drawing/2014/main" id="{B99FA97A-B913-455C-AA89-8771BFE8A3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8950" y="0"/>
          <a:ext cx="6667500" cy="5000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971D6-5BD4-40F0-BDF4-8751C354C62D}">
  <sheetPr codeName="Sheet1"/>
  <dimension ref="A1:D35"/>
  <sheetViews>
    <sheetView tabSelected="1" workbookViewId="0">
      <selection activeCell="A18" sqref="A18"/>
    </sheetView>
  </sheetViews>
  <sheetFormatPr defaultRowHeight="15" x14ac:dyDescent="0.25"/>
  <cols>
    <col min="1" max="1" width="17" bestFit="1" customWidth="1"/>
    <col min="3" max="3" width="10.28515625" bestFit="1" customWidth="1"/>
  </cols>
  <sheetData>
    <row r="1" spans="1:4" x14ac:dyDescent="0.25">
      <c r="A1" s="3" t="s">
        <v>31</v>
      </c>
      <c r="B1" s="4"/>
      <c r="C1" t="s">
        <v>178</v>
      </c>
    </row>
    <row r="2" spans="1:4" x14ac:dyDescent="0.25">
      <c r="A2" s="3" t="s">
        <v>32</v>
      </c>
      <c r="B2" s="4"/>
      <c r="C2" t="s">
        <v>178</v>
      </c>
    </row>
    <row r="3" spans="1:4" x14ac:dyDescent="0.25">
      <c r="A3" s="3" t="s">
        <v>33</v>
      </c>
      <c r="B3" s="4"/>
      <c r="C3" t="s">
        <v>40</v>
      </c>
    </row>
    <row r="5" spans="1:4" x14ac:dyDescent="0.25">
      <c r="A5" s="3" t="s">
        <v>36</v>
      </c>
      <c r="B5" s="16">
        <f>(B1+B2)/2</f>
        <v>0</v>
      </c>
    </row>
    <row r="6" spans="1:4" x14ac:dyDescent="0.25">
      <c r="A6" s="3" t="s">
        <v>34</v>
      </c>
      <c r="B6" s="16">
        <f>B5+B8</f>
        <v>0</v>
      </c>
    </row>
    <row r="7" spans="1:4" x14ac:dyDescent="0.25">
      <c r="A7" s="3" t="s">
        <v>34</v>
      </c>
      <c r="B7" s="16">
        <f>B5-B8</f>
        <v>0</v>
      </c>
    </row>
    <row r="8" spans="1:4" x14ac:dyDescent="0.25">
      <c r="A8" s="3" t="s">
        <v>35</v>
      </c>
      <c r="B8" s="16">
        <f>SQRT(((B1-B2)/2)^2+B3^2)</f>
        <v>0</v>
      </c>
    </row>
    <row r="9" spans="1:4" x14ac:dyDescent="0.25">
      <c r="A9" s="2"/>
      <c r="B9" s="2"/>
      <c r="C9" s="2"/>
    </row>
    <row r="10" spans="1:4" x14ac:dyDescent="0.25">
      <c r="A10" s="1" t="s">
        <v>39</v>
      </c>
      <c r="B10" s="1" t="s">
        <v>37</v>
      </c>
      <c r="C10" s="1" t="s">
        <v>38</v>
      </c>
    </row>
    <row r="11" spans="1:4" x14ac:dyDescent="0.25">
      <c r="A11" s="1">
        <v>0</v>
      </c>
      <c r="B11" s="1">
        <f>$B$5+$B$8*COS(RADIANS(A11))</f>
        <v>0</v>
      </c>
      <c r="C11" s="1">
        <f>$B$8*SIN(RADIANS(A11))</f>
        <v>0</v>
      </c>
    </row>
    <row r="12" spans="1:4" x14ac:dyDescent="0.25">
      <c r="A12" s="1">
        <v>20</v>
      </c>
      <c r="B12" s="1">
        <f>$B$5+$B$8*COS(RADIANS(A12))</f>
        <v>0</v>
      </c>
      <c r="C12" s="1">
        <f t="shared" ref="C12:C29" si="0">$B$8*SIN(RADIANS(A12))</f>
        <v>0</v>
      </c>
    </row>
    <row r="13" spans="1:4" x14ac:dyDescent="0.25">
      <c r="A13" s="1">
        <v>40</v>
      </c>
      <c r="B13" s="1">
        <f t="shared" ref="B13:B29" si="1">$B$5+$B$8*COS(RADIANS(A13))</f>
        <v>0</v>
      </c>
      <c r="C13" s="1">
        <f t="shared" si="0"/>
        <v>0</v>
      </c>
      <c r="D13" s="1"/>
    </row>
    <row r="14" spans="1:4" x14ac:dyDescent="0.25">
      <c r="A14" s="1">
        <v>60</v>
      </c>
      <c r="B14" s="1">
        <f t="shared" si="1"/>
        <v>0</v>
      </c>
      <c r="C14" s="1">
        <f t="shared" si="0"/>
        <v>0</v>
      </c>
      <c r="D14" s="1"/>
    </row>
    <row r="15" spans="1:4" x14ac:dyDescent="0.25">
      <c r="A15" s="1">
        <v>80</v>
      </c>
      <c r="B15" s="1">
        <f t="shared" si="1"/>
        <v>0</v>
      </c>
      <c r="C15" s="1">
        <f t="shared" si="0"/>
        <v>0</v>
      </c>
      <c r="D15" s="1"/>
    </row>
    <row r="16" spans="1:4" x14ac:dyDescent="0.25">
      <c r="A16" s="1">
        <v>100</v>
      </c>
      <c r="B16" s="1">
        <f t="shared" si="1"/>
        <v>0</v>
      </c>
      <c r="C16" s="1">
        <f t="shared" si="0"/>
        <v>0</v>
      </c>
      <c r="D16" s="1"/>
    </row>
    <row r="17" spans="1:4" x14ac:dyDescent="0.25">
      <c r="A17" s="1">
        <v>120</v>
      </c>
      <c r="B17" s="1">
        <f t="shared" si="1"/>
        <v>0</v>
      </c>
      <c r="C17" s="1">
        <f t="shared" si="0"/>
        <v>0</v>
      </c>
      <c r="D17" s="1"/>
    </row>
    <row r="18" spans="1:4" x14ac:dyDescent="0.25">
      <c r="A18" s="1">
        <v>140</v>
      </c>
      <c r="B18" s="1">
        <f t="shared" si="1"/>
        <v>0</v>
      </c>
      <c r="C18" s="1">
        <f t="shared" si="0"/>
        <v>0</v>
      </c>
      <c r="D18" s="1"/>
    </row>
    <row r="19" spans="1:4" x14ac:dyDescent="0.25">
      <c r="A19" s="1">
        <v>160</v>
      </c>
      <c r="B19" s="1">
        <f t="shared" si="1"/>
        <v>0</v>
      </c>
      <c r="C19" s="1">
        <f t="shared" si="0"/>
        <v>0</v>
      </c>
      <c r="D19" s="1"/>
    </row>
    <row r="20" spans="1:4" x14ac:dyDescent="0.25">
      <c r="A20" s="1">
        <v>180</v>
      </c>
      <c r="B20" s="1">
        <f t="shared" si="1"/>
        <v>0</v>
      </c>
      <c r="C20" s="1">
        <f t="shared" si="0"/>
        <v>0</v>
      </c>
      <c r="D20" s="1"/>
    </row>
    <row r="21" spans="1:4" x14ac:dyDescent="0.25">
      <c r="A21" s="1">
        <v>200</v>
      </c>
      <c r="B21" s="1">
        <f t="shared" si="1"/>
        <v>0</v>
      </c>
      <c r="C21" s="1">
        <f t="shared" si="0"/>
        <v>0</v>
      </c>
      <c r="D21" s="1"/>
    </row>
    <row r="22" spans="1:4" x14ac:dyDescent="0.25">
      <c r="A22" s="1">
        <v>220</v>
      </c>
      <c r="B22" s="1">
        <f t="shared" si="1"/>
        <v>0</v>
      </c>
      <c r="C22" s="1">
        <f t="shared" si="0"/>
        <v>0</v>
      </c>
      <c r="D22" s="1"/>
    </row>
    <row r="23" spans="1:4" x14ac:dyDescent="0.25">
      <c r="A23" s="1">
        <v>240</v>
      </c>
      <c r="B23" s="1">
        <f t="shared" si="1"/>
        <v>0</v>
      </c>
      <c r="C23" s="1">
        <f t="shared" si="0"/>
        <v>0</v>
      </c>
      <c r="D23" s="1"/>
    </row>
    <row r="24" spans="1:4" x14ac:dyDescent="0.25">
      <c r="A24" s="1">
        <v>260</v>
      </c>
      <c r="B24" s="1">
        <f t="shared" si="1"/>
        <v>0</v>
      </c>
      <c r="C24" s="1">
        <f t="shared" si="0"/>
        <v>0</v>
      </c>
      <c r="D24" s="1"/>
    </row>
    <row r="25" spans="1:4" x14ac:dyDescent="0.25">
      <c r="A25" s="1">
        <v>280</v>
      </c>
      <c r="B25" s="1">
        <f t="shared" si="1"/>
        <v>0</v>
      </c>
      <c r="C25" s="1">
        <f t="shared" si="0"/>
        <v>0</v>
      </c>
      <c r="D25" s="1"/>
    </row>
    <row r="26" spans="1:4" x14ac:dyDescent="0.25">
      <c r="A26" s="1">
        <v>300</v>
      </c>
      <c r="B26" s="1">
        <f t="shared" si="1"/>
        <v>0</v>
      </c>
      <c r="C26" s="1">
        <f t="shared" si="0"/>
        <v>0</v>
      </c>
      <c r="D26" s="1"/>
    </row>
    <row r="27" spans="1:4" x14ac:dyDescent="0.25">
      <c r="A27" s="1">
        <v>320</v>
      </c>
      <c r="B27" s="1">
        <f t="shared" si="1"/>
        <v>0</v>
      </c>
      <c r="C27" s="1">
        <f t="shared" si="0"/>
        <v>0</v>
      </c>
      <c r="D27" s="1"/>
    </row>
    <row r="28" spans="1:4" x14ac:dyDescent="0.25">
      <c r="A28" s="1">
        <v>340</v>
      </c>
      <c r="B28" s="1">
        <f t="shared" si="1"/>
        <v>0</v>
      </c>
      <c r="C28" s="1">
        <f t="shared" si="0"/>
        <v>0</v>
      </c>
      <c r="D28" s="1"/>
    </row>
    <row r="29" spans="1:4" x14ac:dyDescent="0.25">
      <c r="A29" s="1">
        <v>0</v>
      </c>
      <c r="B29" s="1">
        <f t="shared" si="1"/>
        <v>0</v>
      </c>
      <c r="C29" s="1">
        <f t="shared" si="0"/>
        <v>0</v>
      </c>
      <c r="D29" s="1"/>
    </row>
    <row r="30" spans="1:4" x14ac:dyDescent="0.25">
      <c r="A30" s="1"/>
      <c r="B30" s="1"/>
      <c r="C30" s="1"/>
      <c r="D30" s="1"/>
    </row>
    <row r="31" spans="1:4" x14ac:dyDescent="0.25">
      <c r="A31" s="1">
        <f>B1</f>
        <v>0</v>
      </c>
      <c r="B31" s="1">
        <f>B3</f>
        <v>0</v>
      </c>
      <c r="C31" s="1"/>
      <c r="D31" s="1"/>
    </row>
    <row r="32" spans="1:4" x14ac:dyDescent="0.25">
      <c r="A32" s="1">
        <f>B5</f>
        <v>0</v>
      </c>
      <c r="B32" s="1">
        <v>0</v>
      </c>
      <c r="C32" s="1"/>
      <c r="D32" s="1"/>
    </row>
    <row r="33" spans="1:4" x14ac:dyDescent="0.25">
      <c r="A33" s="1">
        <f>B2</f>
        <v>0</v>
      </c>
      <c r="B33" s="1">
        <f>-B31</f>
        <v>0</v>
      </c>
      <c r="C33" s="1"/>
      <c r="D33" s="1"/>
    </row>
    <row r="34" spans="1:4" x14ac:dyDescent="0.25">
      <c r="A34" s="1"/>
      <c r="B34" s="1"/>
      <c r="C34" s="1"/>
      <c r="D34" s="1"/>
    </row>
    <row r="35" spans="1:4" x14ac:dyDescent="0.25">
      <c r="A35" s="1"/>
      <c r="B35" s="1"/>
      <c r="C35" s="1"/>
      <c r="D35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C4831-72BD-4E0D-A29B-62F893DC4488}">
  <sheetPr codeName="Sheet2"/>
  <dimension ref="A1:G47"/>
  <sheetViews>
    <sheetView workbookViewId="0">
      <selection activeCell="B19" sqref="B19"/>
    </sheetView>
  </sheetViews>
  <sheetFormatPr defaultRowHeight="15" x14ac:dyDescent="0.25"/>
  <cols>
    <col min="3" max="3" width="10.28515625" bestFit="1" customWidth="1"/>
  </cols>
  <sheetData>
    <row r="1" spans="1:4" x14ac:dyDescent="0.25">
      <c r="A1" s="8" t="s">
        <v>2</v>
      </c>
      <c r="B1" s="5"/>
      <c r="C1" t="s">
        <v>178</v>
      </c>
    </row>
    <row r="2" spans="1:4" x14ac:dyDescent="0.25">
      <c r="A2" s="9" t="s">
        <v>0</v>
      </c>
      <c r="B2" s="6"/>
      <c r="C2" t="s">
        <v>178</v>
      </c>
    </row>
    <row r="3" spans="1:4" x14ac:dyDescent="0.25">
      <c r="A3" s="9" t="s">
        <v>1</v>
      </c>
      <c r="B3" s="6"/>
      <c r="C3" t="s">
        <v>178</v>
      </c>
    </row>
    <row r="4" spans="1:4" x14ac:dyDescent="0.25">
      <c r="A4" s="9" t="s">
        <v>3</v>
      </c>
      <c r="B4" s="6"/>
      <c r="C4" t="s">
        <v>40</v>
      </c>
    </row>
    <row r="5" spans="1:4" x14ac:dyDescent="0.25">
      <c r="A5" s="9" t="s">
        <v>4</v>
      </c>
      <c r="B5" s="6"/>
      <c r="C5" t="s">
        <v>40</v>
      </c>
    </row>
    <row r="6" spans="1:4" ht="15.75" thickBot="1" x14ac:dyDescent="0.3">
      <c r="A6" s="10" t="s">
        <v>5</v>
      </c>
      <c r="B6" s="7"/>
      <c r="C6" t="s">
        <v>40</v>
      </c>
    </row>
    <row r="7" spans="1:4" x14ac:dyDescent="0.25">
      <c r="A7" s="51" t="s">
        <v>147</v>
      </c>
      <c r="B7" s="52"/>
    </row>
    <row r="8" spans="1:4" ht="15.75" thickBot="1" x14ac:dyDescent="0.3">
      <c r="B8">
        <v>0</v>
      </c>
      <c r="C8" s="2"/>
    </row>
    <row r="9" spans="1:4" x14ac:dyDescent="0.25">
      <c r="A9" s="8" t="s">
        <v>41</v>
      </c>
      <c r="B9" s="12">
        <v>0</v>
      </c>
      <c r="C9" s="2">
        <f>IF(MAX(B1:B3)&gt;0,2*MAX(B1:B3),MAX(B1:B3)+4*ABS(MAX(B1:B3)))</f>
        <v>0</v>
      </c>
      <c r="D9" s="1">
        <f>B9^3-(B1+B2+B3)*B9^2+(B1*B2+B1*B3+B2*B3-B4^2-B5^2-B6^2)*B9-(B1*B2*B3+2*B4*B5*B6-B1*B5^2-B2*B6^2-B3*B4^2)</f>
        <v>0</v>
      </c>
    </row>
    <row r="10" spans="1:4" x14ac:dyDescent="0.25">
      <c r="A10" s="9" t="s">
        <v>43</v>
      </c>
      <c r="B10" s="13">
        <v>0</v>
      </c>
      <c r="C10" s="2">
        <f>(MAX(B1:B3)+MIN(B1:B3))/2</f>
        <v>0</v>
      </c>
      <c r="D10" s="1">
        <f>B10^3-(B1+B2+B3)*B10^2+(B1*B2+B1*B3+B2*B3-B4^2-B5^2-B6^2)*B10-(B1*B2*B3+2*B4*B5*B6-B1*B5^2-B2*B6^2-B3*B4^2)</f>
        <v>0</v>
      </c>
    </row>
    <row r="11" spans="1:4" x14ac:dyDescent="0.25">
      <c r="A11" s="9" t="s">
        <v>42</v>
      </c>
      <c r="B11" s="13">
        <v>0</v>
      </c>
      <c r="C11" s="2">
        <f>IF(MIN(B1:B3)&lt;0,2*MIN(B1:B3),MIN(B1:B3)-4*ABS(MIN(B1:B3)))</f>
        <v>0</v>
      </c>
      <c r="D11" s="1">
        <f>B11^3-(B1+B2+B3)*B11^2+(B1*B2+B1*B3+B2*B3-B4^2-B5^2-B6^2)*B11-(B1*B2*B3+2*B4*B5*B6-B1*B5^2-B2*B6^2-B3*B4^2)</f>
        <v>0</v>
      </c>
    </row>
    <row r="12" spans="1:4" x14ac:dyDescent="0.25">
      <c r="A12" s="9" t="s">
        <v>44</v>
      </c>
      <c r="B12" s="13">
        <f>ABS(B9-B11)/2</f>
        <v>0</v>
      </c>
      <c r="C12" s="2"/>
      <c r="D12" s="1">
        <v>0</v>
      </c>
    </row>
    <row r="13" spans="1:4" x14ac:dyDescent="0.25">
      <c r="A13" s="9" t="s">
        <v>46</v>
      </c>
      <c r="B13" s="13">
        <f>ABS(B9-B10)/2</f>
        <v>0</v>
      </c>
      <c r="C13" s="2"/>
    </row>
    <row r="14" spans="1:4" ht="15.75" thickBot="1" x14ac:dyDescent="0.3">
      <c r="A14" s="10" t="s">
        <v>45</v>
      </c>
      <c r="B14" s="14">
        <f>ABS(B10-B11)/2</f>
        <v>0</v>
      </c>
    </row>
    <row r="27" spans="1:7" x14ac:dyDescent="0.25">
      <c r="A27" s="1" t="s">
        <v>47</v>
      </c>
      <c r="B27" s="50" t="s">
        <v>50</v>
      </c>
      <c r="C27" s="50"/>
      <c r="D27" s="50" t="s">
        <v>51</v>
      </c>
      <c r="E27" s="50"/>
      <c r="F27" s="50" t="s">
        <v>52</v>
      </c>
      <c r="G27" s="50"/>
    </row>
    <row r="28" spans="1:7" x14ac:dyDescent="0.25">
      <c r="A28" s="1" t="s">
        <v>48</v>
      </c>
      <c r="B28" s="1" t="s">
        <v>49</v>
      </c>
      <c r="C28" s="1" t="s">
        <v>38</v>
      </c>
      <c r="D28" s="1" t="s">
        <v>49</v>
      </c>
      <c r="E28" s="1" t="s">
        <v>38</v>
      </c>
      <c r="F28" s="1" t="s">
        <v>49</v>
      </c>
      <c r="G28" s="1" t="s">
        <v>38</v>
      </c>
    </row>
    <row r="29" spans="1:7" x14ac:dyDescent="0.25">
      <c r="A29" s="1">
        <v>0</v>
      </c>
      <c r="B29" s="1">
        <f>($B$9+$B$11)/2 +$B$12*COS(RADIANS(A29))</f>
        <v>0</v>
      </c>
      <c r="C29" s="1">
        <f>$B$12*SIN(RADIANS(A29))</f>
        <v>0</v>
      </c>
      <c r="D29" s="1">
        <f>($B$9+$B$10)/2+$B$13*COS(RADIANS(A29))</f>
        <v>0</v>
      </c>
      <c r="E29" s="1">
        <f>$B$13*SIN(RADIANS(A29))</f>
        <v>0</v>
      </c>
      <c r="F29" s="1">
        <f>($B$10+$B$11)/2+$B$14*COS(RADIANS(A29))</f>
        <v>0</v>
      </c>
      <c r="G29" s="1">
        <f>$B$14*SIN(RADIANS(A29))</f>
        <v>0</v>
      </c>
    </row>
    <row r="30" spans="1:7" x14ac:dyDescent="0.25">
      <c r="A30" s="1">
        <v>20</v>
      </c>
      <c r="B30" s="1">
        <f t="shared" ref="B30:B47" si="0">($B$9+$B$11)/2 +$B$12*COS(RADIANS(A30))</f>
        <v>0</v>
      </c>
      <c r="C30" s="1">
        <f t="shared" ref="C30:C47" si="1">$B$12*SIN(RADIANS(A30))</f>
        <v>0</v>
      </c>
      <c r="D30" s="1">
        <f t="shared" ref="D30:D47" si="2">($B$9+$B$10)/2+$B$13*COS(RADIANS(A30))</f>
        <v>0</v>
      </c>
      <c r="E30" s="1">
        <f t="shared" ref="E30:E47" si="3">$B$13*SIN(RADIANS(A30))</f>
        <v>0</v>
      </c>
      <c r="F30" s="1">
        <f t="shared" ref="F30:F47" si="4">($B$10+$B$11)/2+$B$14*COS(RADIANS(A30))</f>
        <v>0</v>
      </c>
      <c r="G30" s="1">
        <f t="shared" ref="G30:G47" si="5">$B$14*SIN(RADIANS(A30))</f>
        <v>0</v>
      </c>
    </row>
    <row r="31" spans="1:7" x14ac:dyDescent="0.25">
      <c r="A31" s="1">
        <v>40</v>
      </c>
      <c r="B31" s="1">
        <f t="shared" si="0"/>
        <v>0</v>
      </c>
      <c r="C31" s="1">
        <f t="shared" si="1"/>
        <v>0</v>
      </c>
      <c r="D31" s="1">
        <f t="shared" si="2"/>
        <v>0</v>
      </c>
      <c r="E31" s="1">
        <f t="shared" si="3"/>
        <v>0</v>
      </c>
      <c r="F31" s="1">
        <f t="shared" si="4"/>
        <v>0</v>
      </c>
      <c r="G31" s="1">
        <f t="shared" si="5"/>
        <v>0</v>
      </c>
    </row>
    <row r="32" spans="1:7" x14ac:dyDescent="0.25">
      <c r="A32" s="1">
        <v>60</v>
      </c>
      <c r="B32" s="1">
        <f t="shared" si="0"/>
        <v>0</v>
      </c>
      <c r="C32" s="1">
        <f t="shared" si="1"/>
        <v>0</v>
      </c>
      <c r="D32" s="1">
        <f t="shared" si="2"/>
        <v>0</v>
      </c>
      <c r="E32" s="1">
        <f t="shared" si="3"/>
        <v>0</v>
      </c>
      <c r="F32" s="1">
        <f t="shared" si="4"/>
        <v>0</v>
      </c>
      <c r="G32" s="1">
        <f t="shared" si="5"/>
        <v>0</v>
      </c>
    </row>
    <row r="33" spans="1:7" x14ac:dyDescent="0.25">
      <c r="A33" s="1">
        <v>80</v>
      </c>
      <c r="B33" s="1">
        <f t="shared" si="0"/>
        <v>0</v>
      </c>
      <c r="C33" s="1">
        <f t="shared" si="1"/>
        <v>0</v>
      </c>
      <c r="D33" s="1">
        <f t="shared" si="2"/>
        <v>0</v>
      </c>
      <c r="E33" s="1">
        <f t="shared" si="3"/>
        <v>0</v>
      </c>
      <c r="F33" s="1">
        <f t="shared" si="4"/>
        <v>0</v>
      </c>
      <c r="G33" s="1">
        <f t="shared" si="5"/>
        <v>0</v>
      </c>
    </row>
    <row r="34" spans="1:7" x14ac:dyDescent="0.25">
      <c r="A34" s="1">
        <v>100</v>
      </c>
      <c r="B34" s="1">
        <f t="shared" si="0"/>
        <v>0</v>
      </c>
      <c r="C34" s="1">
        <f t="shared" si="1"/>
        <v>0</v>
      </c>
      <c r="D34" s="1">
        <f t="shared" si="2"/>
        <v>0</v>
      </c>
      <c r="E34" s="1">
        <f t="shared" si="3"/>
        <v>0</v>
      </c>
      <c r="F34" s="1">
        <f t="shared" si="4"/>
        <v>0</v>
      </c>
      <c r="G34" s="1">
        <f t="shared" si="5"/>
        <v>0</v>
      </c>
    </row>
    <row r="35" spans="1:7" x14ac:dyDescent="0.25">
      <c r="A35" s="1">
        <v>120</v>
      </c>
      <c r="B35" s="1">
        <f t="shared" si="0"/>
        <v>0</v>
      </c>
      <c r="C35" s="1">
        <f t="shared" si="1"/>
        <v>0</v>
      </c>
      <c r="D35" s="1">
        <f t="shared" si="2"/>
        <v>0</v>
      </c>
      <c r="E35" s="1">
        <f t="shared" si="3"/>
        <v>0</v>
      </c>
      <c r="F35" s="1">
        <f t="shared" si="4"/>
        <v>0</v>
      </c>
      <c r="G35" s="1">
        <f t="shared" si="5"/>
        <v>0</v>
      </c>
    </row>
    <row r="36" spans="1:7" x14ac:dyDescent="0.25">
      <c r="A36" s="1">
        <v>140</v>
      </c>
      <c r="B36" s="1">
        <f t="shared" si="0"/>
        <v>0</v>
      </c>
      <c r="C36" s="1">
        <f t="shared" si="1"/>
        <v>0</v>
      </c>
      <c r="D36" s="1">
        <f t="shared" si="2"/>
        <v>0</v>
      </c>
      <c r="E36" s="1">
        <f t="shared" si="3"/>
        <v>0</v>
      </c>
      <c r="F36" s="1">
        <f t="shared" si="4"/>
        <v>0</v>
      </c>
      <c r="G36" s="1">
        <f t="shared" si="5"/>
        <v>0</v>
      </c>
    </row>
    <row r="37" spans="1:7" x14ac:dyDescent="0.25">
      <c r="A37" s="1">
        <v>160</v>
      </c>
      <c r="B37" s="1">
        <f t="shared" si="0"/>
        <v>0</v>
      </c>
      <c r="C37" s="1">
        <f t="shared" si="1"/>
        <v>0</v>
      </c>
      <c r="D37" s="1">
        <f t="shared" si="2"/>
        <v>0</v>
      </c>
      <c r="E37" s="1">
        <f t="shared" si="3"/>
        <v>0</v>
      </c>
      <c r="F37" s="1">
        <f t="shared" si="4"/>
        <v>0</v>
      </c>
      <c r="G37" s="1">
        <f t="shared" si="5"/>
        <v>0</v>
      </c>
    </row>
    <row r="38" spans="1:7" x14ac:dyDescent="0.25">
      <c r="A38" s="1">
        <v>180</v>
      </c>
      <c r="B38" s="1">
        <f t="shared" si="0"/>
        <v>0</v>
      </c>
      <c r="C38" s="1">
        <f t="shared" si="1"/>
        <v>0</v>
      </c>
      <c r="D38" s="1">
        <f t="shared" si="2"/>
        <v>0</v>
      </c>
      <c r="E38" s="1">
        <f t="shared" si="3"/>
        <v>0</v>
      </c>
      <c r="F38" s="1">
        <f t="shared" si="4"/>
        <v>0</v>
      </c>
      <c r="G38" s="1">
        <f t="shared" si="5"/>
        <v>0</v>
      </c>
    </row>
    <row r="39" spans="1:7" x14ac:dyDescent="0.25">
      <c r="A39" s="1">
        <v>200</v>
      </c>
      <c r="B39" s="1">
        <f t="shared" si="0"/>
        <v>0</v>
      </c>
      <c r="C39" s="1">
        <f t="shared" si="1"/>
        <v>0</v>
      </c>
      <c r="D39" s="1">
        <f t="shared" si="2"/>
        <v>0</v>
      </c>
      <c r="E39" s="1">
        <f t="shared" si="3"/>
        <v>0</v>
      </c>
      <c r="F39" s="1">
        <f t="shared" si="4"/>
        <v>0</v>
      </c>
      <c r="G39" s="1">
        <f t="shared" si="5"/>
        <v>0</v>
      </c>
    </row>
    <row r="40" spans="1:7" x14ac:dyDescent="0.25">
      <c r="A40" s="1">
        <v>220</v>
      </c>
      <c r="B40" s="1">
        <f t="shared" si="0"/>
        <v>0</v>
      </c>
      <c r="C40" s="1">
        <f t="shared" si="1"/>
        <v>0</v>
      </c>
      <c r="D40" s="1">
        <f t="shared" si="2"/>
        <v>0</v>
      </c>
      <c r="E40" s="1">
        <f t="shared" si="3"/>
        <v>0</v>
      </c>
      <c r="F40" s="1">
        <f t="shared" si="4"/>
        <v>0</v>
      </c>
      <c r="G40" s="1">
        <f t="shared" si="5"/>
        <v>0</v>
      </c>
    </row>
    <row r="41" spans="1:7" x14ac:dyDescent="0.25">
      <c r="A41" s="1">
        <v>240</v>
      </c>
      <c r="B41" s="1">
        <f t="shared" si="0"/>
        <v>0</v>
      </c>
      <c r="C41" s="1">
        <f t="shared" si="1"/>
        <v>0</v>
      </c>
      <c r="D41" s="1">
        <f t="shared" si="2"/>
        <v>0</v>
      </c>
      <c r="E41" s="1">
        <f t="shared" si="3"/>
        <v>0</v>
      </c>
      <c r="F41" s="1">
        <f t="shared" si="4"/>
        <v>0</v>
      </c>
      <c r="G41" s="1">
        <f t="shared" si="5"/>
        <v>0</v>
      </c>
    </row>
    <row r="42" spans="1:7" x14ac:dyDescent="0.25">
      <c r="A42" s="1">
        <v>260</v>
      </c>
      <c r="B42" s="1">
        <f t="shared" si="0"/>
        <v>0</v>
      </c>
      <c r="C42" s="1">
        <f t="shared" si="1"/>
        <v>0</v>
      </c>
      <c r="D42" s="1">
        <f t="shared" si="2"/>
        <v>0</v>
      </c>
      <c r="E42" s="1">
        <f t="shared" si="3"/>
        <v>0</v>
      </c>
      <c r="F42" s="1">
        <f t="shared" si="4"/>
        <v>0</v>
      </c>
      <c r="G42" s="1">
        <f t="shared" si="5"/>
        <v>0</v>
      </c>
    </row>
    <row r="43" spans="1:7" x14ac:dyDescent="0.25">
      <c r="A43" s="1">
        <v>280</v>
      </c>
      <c r="B43" s="1">
        <f t="shared" si="0"/>
        <v>0</v>
      </c>
      <c r="C43" s="1">
        <f t="shared" si="1"/>
        <v>0</v>
      </c>
      <c r="D43" s="1">
        <f t="shared" si="2"/>
        <v>0</v>
      </c>
      <c r="E43" s="1">
        <f t="shared" si="3"/>
        <v>0</v>
      </c>
      <c r="F43" s="1">
        <f t="shared" si="4"/>
        <v>0</v>
      </c>
      <c r="G43" s="1">
        <f t="shared" si="5"/>
        <v>0</v>
      </c>
    </row>
    <row r="44" spans="1:7" x14ac:dyDescent="0.25">
      <c r="A44" s="1">
        <v>300</v>
      </c>
      <c r="B44" s="1">
        <f t="shared" si="0"/>
        <v>0</v>
      </c>
      <c r="C44" s="1">
        <f t="shared" si="1"/>
        <v>0</v>
      </c>
      <c r="D44" s="1">
        <f t="shared" si="2"/>
        <v>0</v>
      </c>
      <c r="E44" s="1">
        <f t="shared" si="3"/>
        <v>0</v>
      </c>
      <c r="F44" s="1">
        <f t="shared" si="4"/>
        <v>0</v>
      </c>
      <c r="G44" s="1">
        <f t="shared" si="5"/>
        <v>0</v>
      </c>
    </row>
    <row r="45" spans="1:7" x14ac:dyDescent="0.25">
      <c r="A45" s="1">
        <v>320</v>
      </c>
      <c r="B45" s="1">
        <f t="shared" si="0"/>
        <v>0</v>
      </c>
      <c r="C45" s="1">
        <f t="shared" si="1"/>
        <v>0</v>
      </c>
      <c r="D45" s="1">
        <f t="shared" si="2"/>
        <v>0</v>
      </c>
      <c r="E45" s="1">
        <f t="shared" si="3"/>
        <v>0</v>
      </c>
      <c r="F45" s="1">
        <f t="shared" si="4"/>
        <v>0</v>
      </c>
      <c r="G45" s="1">
        <f t="shared" si="5"/>
        <v>0</v>
      </c>
    </row>
    <row r="46" spans="1:7" x14ac:dyDescent="0.25">
      <c r="A46" s="1">
        <v>340</v>
      </c>
      <c r="B46" s="1">
        <f t="shared" si="0"/>
        <v>0</v>
      </c>
      <c r="C46" s="1">
        <f t="shared" si="1"/>
        <v>0</v>
      </c>
      <c r="D46" s="1">
        <f t="shared" si="2"/>
        <v>0</v>
      </c>
      <c r="E46" s="1">
        <f t="shared" si="3"/>
        <v>0</v>
      </c>
      <c r="F46" s="1">
        <f t="shared" si="4"/>
        <v>0</v>
      </c>
      <c r="G46" s="1">
        <f t="shared" si="5"/>
        <v>0</v>
      </c>
    </row>
    <row r="47" spans="1:7" x14ac:dyDescent="0.25">
      <c r="A47" s="1">
        <v>0</v>
      </c>
      <c r="B47" s="1">
        <f t="shared" si="0"/>
        <v>0</v>
      </c>
      <c r="C47" s="1">
        <f t="shared" si="1"/>
        <v>0</v>
      </c>
      <c r="D47" s="1">
        <f t="shared" si="2"/>
        <v>0</v>
      </c>
      <c r="E47" s="1">
        <f t="shared" si="3"/>
        <v>0</v>
      </c>
      <c r="F47" s="1">
        <f t="shared" si="4"/>
        <v>0</v>
      </c>
      <c r="G47" s="1">
        <f t="shared" si="5"/>
        <v>0</v>
      </c>
    </row>
  </sheetData>
  <mergeCells count="4">
    <mergeCell ref="B27:C27"/>
    <mergeCell ref="D27:E27"/>
    <mergeCell ref="F27:G27"/>
    <mergeCell ref="A7:B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BA792-A347-4423-B10E-E9CA9A83C32A}">
  <sheetPr codeName="Sheet4"/>
  <dimension ref="A1:L5"/>
  <sheetViews>
    <sheetView workbookViewId="0">
      <selection activeCell="H2" sqref="H2"/>
    </sheetView>
  </sheetViews>
  <sheetFormatPr defaultRowHeight="15" x14ac:dyDescent="0.25"/>
  <cols>
    <col min="2" max="2" width="10" bestFit="1" customWidth="1"/>
    <col min="3" max="3" width="9.85546875" customWidth="1"/>
    <col min="5" max="5" width="9.85546875" bestFit="1" customWidth="1"/>
    <col min="7" max="7" width="9.7109375" bestFit="1" customWidth="1"/>
  </cols>
  <sheetData>
    <row r="1" spans="1:12" x14ac:dyDescent="0.25">
      <c r="A1" s="3"/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J1" s="3" t="s">
        <v>28</v>
      </c>
      <c r="K1" s="3" t="s">
        <v>14</v>
      </c>
      <c r="L1" s="3" t="s">
        <v>29</v>
      </c>
    </row>
    <row r="2" spans="1:12" x14ac:dyDescent="0.25">
      <c r="A2" s="3" t="s">
        <v>24</v>
      </c>
      <c r="B2" s="4"/>
      <c r="C2" s="4"/>
      <c r="D2" s="15">
        <f>B2*C2</f>
        <v>0</v>
      </c>
      <c r="E2" s="4"/>
      <c r="F2" s="15">
        <f>E2*B2</f>
        <v>0</v>
      </c>
      <c r="G2" s="4"/>
      <c r="H2" s="15">
        <f>B2*G2</f>
        <v>0</v>
      </c>
      <c r="J2" s="16" t="e">
        <f>SUM(D2:D5)/SUM(B2:B5)</f>
        <v>#DIV/0!</v>
      </c>
      <c r="K2" s="16" t="e">
        <f>SUM(F2:F5)/SUM(B2:B5)</f>
        <v>#DIV/0!</v>
      </c>
      <c r="L2" s="16" t="e">
        <f>SUM(H2:H5)/SUM(B2:B5)</f>
        <v>#DIV/0!</v>
      </c>
    </row>
    <row r="3" spans="1:12" x14ac:dyDescent="0.25">
      <c r="A3" s="3" t="s">
        <v>25</v>
      </c>
      <c r="B3" s="4"/>
      <c r="C3" s="4"/>
      <c r="D3" s="15">
        <f t="shared" ref="D3:D5" si="0">B3*C3</f>
        <v>0</v>
      </c>
      <c r="E3" s="4"/>
      <c r="F3" s="15">
        <f t="shared" ref="F3:F5" si="1">E3*B3</f>
        <v>0</v>
      </c>
      <c r="G3" s="4"/>
      <c r="H3" s="15">
        <f t="shared" ref="H3:H5" si="2">B3*G3</f>
        <v>0</v>
      </c>
    </row>
    <row r="4" spans="1:12" x14ac:dyDescent="0.25">
      <c r="A4" s="3" t="s">
        <v>26</v>
      </c>
      <c r="B4" s="4"/>
      <c r="C4" s="4"/>
      <c r="D4" s="15">
        <f t="shared" si="0"/>
        <v>0</v>
      </c>
      <c r="E4" s="4"/>
      <c r="F4" s="15">
        <f t="shared" si="1"/>
        <v>0</v>
      </c>
      <c r="G4" s="4"/>
      <c r="H4" s="15">
        <f t="shared" si="2"/>
        <v>0</v>
      </c>
    </row>
    <row r="5" spans="1:12" x14ac:dyDescent="0.25">
      <c r="A5" s="3" t="s">
        <v>27</v>
      </c>
      <c r="B5" s="4"/>
      <c r="C5" s="4"/>
      <c r="D5" s="15">
        <f t="shared" si="0"/>
        <v>0</v>
      </c>
      <c r="E5" s="4"/>
      <c r="F5" s="15">
        <f t="shared" si="1"/>
        <v>0</v>
      </c>
      <c r="G5" s="4"/>
      <c r="H5" s="15">
        <f t="shared" si="2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50D2F-4890-48AD-B8E5-6D07A072CF4B}">
  <sheetPr codeName="Sheet3"/>
  <dimension ref="A1:L9"/>
  <sheetViews>
    <sheetView zoomScaleNormal="100" workbookViewId="0">
      <selection activeCell="B2" sqref="B2:D4"/>
    </sheetView>
  </sheetViews>
  <sheetFormatPr defaultRowHeight="15" x14ac:dyDescent="0.25"/>
  <sheetData>
    <row r="1" spans="1:12" x14ac:dyDescent="0.25">
      <c r="A1" s="3"/>
      <c r="B1" s="11" t="s">
        <v>6</v>
      </c>
      <c r="C1" s="11" t="s">
        <v>7</v>
      </c>
      <c r="D1" s="11" t="s">
        <v>8</v>
      </c>
      <c r="E1" s="11" t="s">
        <v>9</v>
      </c>
      <c r="F1" s="11" t="s">
        <v>10</v>
      </c>
      <c r="G1" s="11" t="s">
        <v>11</v>
      </c>
      <c r="H1" s="11" t="s">
        <v>12</v>
      </c>
      <c r="I1" s="11" t="s">
        <v>13</v>
      </c>
      <c r="J1" s="11" t="s">
        <v>14</v>
      </c>
      <c r="K1" s="11" t="s">
        <v>15</v>
      </c>
      <c r="L1" s="11" t="s">
        <v>30</v>
      </c>
    </row>
    <row r="2" spans="1:12" x14ac:dyDescent="0.25">
      <c r="A2" s="11">
        <v>1</v>
      </c>
      <c r="B2" s="4"/>
      <c r="C2" s="4"/>
      <c r="D2" s="4"/>
      <c r="E2" s="48">
        <f>B2*C2</f>
        <v>0</v>
      </c>
      <c r="F2" s="15">
        <f>E2*D2</f>
        <v>0</v>
      </c>
      <c r="G2" s="48">
        <f>1/12*B2*C2^3</f>
        <v>0</v>
      </c>
      <c r="H2" s="15" t="e">
        <f>ABS(D2-$J$2)</f>
        <v>#DIV/0!</v>
      </c>
      <c r="I2" s="15" t="e">
        <f>E2*H2^2</f>
        <v>#DIV/0!</v>
      </c>
      <c r="J2" s="16" t="e">
        <f>SUM(F2:F5)/SUM(E2:E5)</f>
        <v>#DIV/0!</v>
      </c>
      <c r="K2" s="16" t="e">
        <f>SUM(G2:G5)+SUM(I2:I5)</f>
        <v>#DIV/0!</v>
      </c>
      <c r="L2" s="16" t="e">
        <f>K2*2</f>
        <v>#DIV/0!</v>
      </c>
    </row>
    <row r="3" spans="1:12" x14ac:dyDescent="0.25">
      <c r="A3" s="11">
        <v>2</v>
      </c>
      <c r="B3" s="47"/>
      <c r="C3" s="4"/>
      <c r="D3" s="4"/>
      <c r="E3" s="48">
        <f t="shared" ref="E3:E5" si="0">B3*C3</f>
        <v>0</v>
      </c>
      <c r="F3" s="15">
        <f t="shared" ref="F3:F5" si="1">E3*D3</f>
        <v>0</v>
      </c>
      <c r="G3" s="48">
        <f t="shared" ref="G3:G5" si="2">1/12*B3*C3^3</f>
        <v>0</v>
      </c>
      <c r="H3" s="15" t="e">
        <f t="shared" ref="H3:H4" si="3">ABS(D3-$J$2)</f>
        <v>#DIV/0!</v>
      </c>
      <c r="I3" s="15" t="e">
        <f t="shared" ref="I3:I5" si="4">E3*H3^2</f>
        <v>#DIV/0!</v>
      </c>
    </row>
    <row r="4" spans="1:12" x14ac:dyDescent="0.25">
      <c r="A4" s="11">
        <v>3</v>
      </c>
      <c r="B4" s="4"/>
      <c r="C4" s="4"/>
      <c r="D4" s="4"/>
      <c r="E4" s="48">
        <f t="shared" si="0"/>
        <v>0</v>
      </c>
      <c r="F4" s="15">
        <f t="shared" si="1"/>
        <v>0</v>
      </c>
      <c r="G4" s="48">
        <f t="shared" si="2"/>
        <v>0</v>
      </c>
      <c r="H4" s="15" t="e">
        <f t="shared" si="3"/>
        <v>#DIV/0!</v>
      </c>
      <c r="I4" s="15" t="e">
        <f t="shared" si="4"/>
        <v>#DIV/0!</v>
      </c>
    </row>
    <row r="5" spans="1:12" x14ac:dyDescent="0.25">
      <c r="A5" s="11">
        <v>4</v>
      </c>
      <c r="B5" s="4"/>
      <c r="C5" s="4"/>
      <c r="D5" s="4"/>
      <c r="E5" s="48">
        <f t="shared" si="0"/>
        <v>0</v>
      </c>
      <c r="F5" s="15">
        <f t="shared" si="1"/>
        <v>0</v>
      </c>
      <c r="G5" s="48">
        <f t="shared" si="2"/>
        <v>0</v>
      </c>
      <c r="H5" s="15"/>
      <c r="I5" s="15">
        <f t="shared" si="4"/>
        <v>0</v>
      </c>
    </row>
    <row r="7" spans="1:12" x14ac:dyDescent="0.25">
      <c r="A7" s="54" t="s">
        <v>179</v>
      </c>
      <c r="B7" s="54"/>
      <c r="C7" s="54"/>
      <c r="D7" s="54"/>
      <c r="E7" s="54"/>
      <c r="F7" s="54"/>
      <c r="G7" s="54"/>
      <c r="H7" s="54"/>
      <c r="I7" s="54"/>
      <c r="J7" s="54"/>
      <c r="K7" s="54"/>
    </row>
    <row r="8" spans="1:12" x14ac:dyDescent="0.25">
      <c r="B8" s="53" t="s">
        <v>181</v>
      </c>
      <c r="C8" s="53"/>
      <c r="D8" s="49" t="s">
        <v>28</v>
      </c>
      <c r="E8" s="49" t="s">
        <v>14</v>
      </c>
      <c r="F8" s="49" t="s">
        <v>180</v>
      </c>
      <c r="I8" s="54" t="s">
        <v>182</v>
      </c>
      <c r="J8" s="54"/>
      <c r="K8" s="3" t="s">
        <v>15</v>
      </c>
    </row>
    <row r="9" spans="1:12" x14ac:dyDescent="0.25">
      <c r="J9" t="s">
        <v>16</v>
      </c>
    </row>
  </sheetData>
  <mergeCells count="3">
    <mergeCell ref="B8:C8"/>
    <mergeCell ref="A7:K7"/>
    <mergeCell ref="I8:J8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1B2B3-0A7B-4A57-B4D1-F2048721CE7A}">
  <sheetPr codeName="Sheet5"/>
  <dimension ref="A1:E16"/>
  <sheetViews>
    <sheetView workbookViewId="0">
      <selection activeCell="E2" sqref="E2:E9"/>
    </sheetView>
  </sheetViews>
  <sheetFormatPr defaultRowHeight="15" x14ac:dyDescent="0.25"/>
  <sheetData>
    <row r="1" spans="1:5" x14ac:dyDescent="0.25">
      <c r="A1" s="55" t="s">
        <v>157</v>
      </c>
      <c r="B1" s="55"/>
      <c r="D1" s="56" t="s">
        <v>158</v>
      </c>
      <c r="E1" s="56"/>
    </row>
    <row r="2" spans="1:5" x14ac:dyDescent="0.25">
      <c r="A2" s="3" t="s">
        <v>148</v>
      </c>
      <c r="B2" s="4"/>
      <c r="D2" s="3" t="s">
        <v>148</v>
      </c>
      <c r="E2" s="4"/>
    </row>
    <row r="3" spans="1:5" x14ac:dyDescent="0.25">
      <c r="A3" s="3" t="s">
        <v>155</v>
      </c>
      <c r="B3" s="4"/>
      <c r="D3" s="3" t="s">
        <v>155</v>
      </c>
      <c r="E3" s="4"/>
    </row>
    <row r="4" spans="1:5" x14ac:dyDescent="0.25">
      <c r="A4" t="s">
        <v>149</v>
      </c>
      <c r="B4" s="4"/>
      <c r="D4" s="3" t="s">
        <v>149</v>
      </c>
      <c r="E4" s="4"/>
    </row>
    <row r="5" spans="1:5" x14ac:dyDescent="0.25">
      <c r="A5" s="3" t="s">
        <v>156</v>
      </c>
      <c r="B5" s="4"/>
      <c r="D5" s="3" t="s">
        <v>156</v>
      </c>
      <c r="E5" s="4"/>
    </row>
    <row r="6" spans="1:5" x14ac:dyDescent="0.25">
      <c r="A6" s="3" t="s">
        <v>152</v>
      </c>
      <c r="B6" s="4"/>
      <c r="D6" s="3" t="s">
        <v>159</v>
      </c>
      <c r="E6" s="4"/>
    </row>
    <row r="7" spans="1:5" x14ac:dyDescent="0.25">
      <c r="A7" s="3"/>
      <c r="B7" s="3"/>
      <c r="D7" s="3" t="s">
        <v>160</v>
      </c>
      <c r="E7" s="4"/>
    </row>
    <row r="8" spans="1:5" x14ac:dyDescent="0.25">
      <c r="A8" s="3" t="s">
        <v>151</v>
      </c>
      <c r="B8" s="15">
        <f>B3-B5</f>
        <v>0</v>
      </c>
      <c r="D8" s="3" t="s">
        <v>161</v>
      </c>
      <c r="E8" s="4"/>
    </row>
    <row r="9" spans="1:5" x14ac:dyDescent="0.25">
      <c r="A9" s="3" t="s">
        <v>150</v>
      </c>
      <c r="B9" s="15">
        <f>(B3+B5)/2</f>
        <v>0</v>
      </c>
      <c r="D9" s="3" t="s">
        <v>162</v>
      </c>
      <c r="E9" s="4"/>
    </row>
    <row r="10" spans="1:5" x14ac:dyDescent="0.25">
      <c r="A10" s="3"/>
      <c r="B10" s="3"/>
      <c r="D10" s="3"/>
      <c r="E10" s="3"/>
    </row>
    <row r="11" spans="1:5" x14ac:dyDescent="0.25">
      <c r="A11" s="3" t="s">
        <v>103</v>
      </c>
      <c r="B11" s="16" t="e">
        <f>(B6*B8)/(2*B9^3)*((B4^2-B9^2)*(B9^2-B2^2)/(B4^2-B2^2))</f>
        <v>#DIV/0!</v>
      </c>
      <c r="D11" s="3" t="s">
        <v>151</v>
      </c>
      <c r="E11" s="15">
        <f>E3-E5</f>
        <v>0</v>
      </c>
    </row>
    <row r="12" spans="1:5" x14ac:dyDescent="0.25">
      <c r="A12" s="3" t="s">
        <v>153</v>
      </c>
      <c r="B12" s="16" t="e">
        <f>-B11*(B9^2+B2^2)/(B9^2-B2^2)</f>
        <v>#DIV/0!</v>
      </c>
      <c r="D12" s="3" t="s">
        <v>150</v>
      </c>
      <c r="E12" s="15">
        <f>(E3+E5)/2</f>
        <v>0</v>
      </c>
    </row>
    <row r="13" spans="1:5" x14ac:dyDescent="0.25">
      <c r="A13" s="3" t="s">
        <v>154</v>
      </c>
      <c r="B13" s="16" t="e">
        <f>B11*(B4^2+B9^2)/(B4^2-B9^2)</f>
        <v>#DIV/0!</v>
      </c>
      <c r="D13" s="3"/>
      <c r="E13" s="3"/>
    </row>
    <row r="14" spans="1:5" x14ac:dyDescent="0.25">
      <c r="D14" s="3" t="s">
        <v>103</v>
      </c>
      <c r="E14" s="16" t="e">
        <f>(E11)/((((E4^2+E12^2)/(E4^2-E12^2))+E9)/E7+(((E12^2+E2^2)/(E12^2-E2^2)-E8))/E6)</f>
        <v>#DIV/0!</v>
      </c>
    </row>
    <row r="15" spans="1:5" x14ac:dyDescent="0.25">
      <c r="D15" s="3" t="s">
        <v>153</v>
      </c>
      <c r="E15" s="16" t="e">
        <f>-E14*(E12^2+E2^2)/(E12^2-E2^2)</f>
        <v>#DIV/0!</v>
      </c>
    </row>
    <row r="16" spans="1:5" x14ac:dyDescent="0.25">
      <c r="D16" s="3" t="s">
        <v>154</v>
      </c>
      <c r="E16" s="16" t="e">
        <f>E14*(E4^2+E12^2)/(E4^2-E12^2)</f>
        <v>#DIV/0!</v>
      </c>
    </row>
  </sheetData>
  <mergeCells count="2">
    <mergeCell ref="A1:B1"/>
    <mergeCell ref="D1:E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E8CDC-AB1A-47FC-ADDC-A854087519AF}">
  <sheetPr codeName="Sheet6"/>
  <dimension ref="A1:E16"/>
  <sheetViews>
    <sheetView workbookViewId="0">
      <selection activeCell="G11" sqref="G11"/>
    </sheetView>
  </sheetViews>
  <sheetFormatPr defaultRowHeight="15" x14ac:dyDescent="0.25"/>
  <sheetData>
    <row r="1" spans="1:5" x14ac:dyDescent="0.25">
      <c r="A1" s="54" t="s">
        <v>163</v>
      </c>
      <c r="B1" s="54"/>
      <c r="D1" s="54" t="s">
        <v>169</v>
      </c>
      <c r="E1" s="54"/>
    </row>
    <row r="2" spans="1:5" x14ac:dyDescent="0.25">
      <c r="A2" s="44" t="s">
        <v>168</v>
      </c>
      <c r="B2" s="45"/>
      <c r="D2" s="44" t="s">
        <v>168</v>
      </c>
      <c r="E2" s="46"/>
    </row>
    <row r="3" spans="1:5" x14ac:dyDescent="0.25">
      <c r="A3" s="3" t="s">
        <v>164</v>
      </c>
      <c r="B3" s="4"/>
      <c r="D3" s="44" t="s">
        <v>170</v>
      </c>
      <c r="E3" s="4"/>
    </row>
    <row r="4" spans="1:5" x14ac:dyDescent="0.25">
      <c r="A4" s="3" t="s">
        <v>165</v>
      </c>
      <c r="B4" s="4"/>
      <c r="D4" s="3" t="s">
        <v>164</v>
      </c>
      <c r="E4" s="4"/>
    </row>
    <row r="5" spans="1:5" x14ac:dyDescent="0.25">
      <c r="A5" s="3" t="s">
        <v>159</v>
      </c>
      <c r="B5" s="4"/>
      <c r="D5" s="3" t="s">
        <v>165</v>
      </c>
      <c r="E5" s="4"/>
    </row>
    <row r="6" spans="1:5" x14ac:dyDescent="0.25">
      <c r="A6" s="3" t="s">
        <v>166</v>
      </c>
      <c r="B6" s="4"/>
      <c r="D6" s="3" t="s">
        <v>159</v>
      </c>
      <c r="E6" s="4"/>
    </row>
    <row r="7" spans="1:5" x14ac:dyDescent="0.25">
      <c r="A7" s="3" t="s">
        <v>167</v>
      </c>
      <c r="B7" s="4"/>
      <c r="D7" s="3" t="s">
        <v>166</v>
      </c>
      <c r="E7" s="4"/>
    </row>
    <row r="8" spans="1:5" x14ac:dyDescent="0.25">
      <c r="A8" s="3" t="s">
        <v>160</v>
      </c>
      <c r="B8" s="4"/>
      <c r="D8" s="3" t="s">
        <v>167</v>
      </c>
      <c r="E8" s="4"/>
    </row>
    <row r="9" spans="1:5" x14ac:dyDescent="0.25">
      <c r="D9" s="3" t="s">
        <v>160</v>
      </c>
      <c r="E9" s="4"/>
    </row>
    <row r="11" spans="1:5" x14ac:dyDescent="0.25">
      <c r="A11" s="3" t="s">
        <v>171</v>
      </c>
      <c r="B11" s="16" t="e">
        <f>(3*B2/8*(((1-B4^2)/B5+(1-B7^2)/B8)/(1/B3+1/B6)))^(1/3)</f>
        <v>#DIV/0!</v>
      </c>
      <c r="D11" s="3" t="s">
        <v>6</v>
      </c>
      <c r="E11" s="16" t="e">
        <f>SQRT(2*E2/(PI()*E3)*(((1-E5^2)/E6+(1-E8^2)/E9)/(1/E4+1/E7)))</f>
        <v>#DIV/0!</v>
      </c>
    </row>
    <row r="12" spans="1:5" x14ac:dyDescent="0.25">
      <c r="A12" s="3" t="s">
        <v>172</v>
      </c>
      <c r="B12" s="16" t="e">
        <f>3*B2/(2*PI()*B11^2)</f>
        <v>#DIV/0!</v>
      </c>
      <c r="D12" s="3" t="s">
        <v>172</v>
      </c>
      <c r="E12" s="16" t="e">
        <f>2*E2/(PI()*E11*E3)</f>
        <v>#DIV/0!</v>
      </c>
    </row>
    <row r="13" spans="1:5" x14ac:dyDescent="0.25">
      <c r="A13" s="3" t="s">
        <v>176</v>
      </c>
      <c r="B13" s="16"/>
      <c r="D13" s="3" t="s">
        <v>173</v>
      </c>
      <c r="E13" s="16"/>
    </row>
    <row r="14" spans="1:5" x14ac:dyDescent="0.25">
      <c r="A14" s="3" t="s">
        <v>175</v>
      </c>
      <c r="B14" s="16"/>
      <c r="D14" s="3" t="s">
        <v>174</v>
      </c>
      <c r="E14" s="16"/>
    </row>
    <row r="15" spans="1:5" x14ac:dyDescent="0.25">
      <c r="A15" s="3" t="s">
        <v>177</v>
      </c>
      <c r="B15" s="16" t="e">
        <f>0.3*B12</f>
        <v>#DIV/0!</v>
      </c>
      <c r="D15" s="3" t="s">
        <v>175</v>
      </c>
      <c r="E15" s="16"/>
    </row>
    <row r="16" spans="1:5" x14ac:dyDescent="0.25">
      <c r="D16" s="3" t="s">
        <v>177</v>
      </c>
      <c r="E16" s="16" t="e">
        <f>0.3*E12</f>
        <v>#DIV/0!</v>
      </c>
    </row>
  </sheetData>
  <mergeCells count="2">
    <mergeCell ref="A1:B1"/>
    <mergeCell ref="D1:E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C6B8F-745B-45E8-9D48-4518C9C7A06F}">
  <sheetPr codeName="Sheet7"/>
  <dimension ref="A1:D16"/>
  <sheetViews>
    <sheetView workbookViewId="0">
      <selection activeCell="C3" sqref="C3"/>
    </sheetView>
  </sheetViews>
  <sheetFormatPr defaultRowHeight="15" x14ac:dyDescent="0.25"/>
  <cols>
    <col min="1" max="1" width="10.5703125" bestFit="1" customWidth="1"/>
    <col min="2" max="2" width="14.42578125" bestFit="1" customWidth="1"/>
    <col min="3" max="3" width="12" bestFit="1" customWidth="1"/>
  </cols>
  <sheetData>
    <row r="1" spans="1:4" x14ac:dyDescent="0.25">
      <c r="A1" s="3" t="s">
        <v>124</v>
      </c>
      <c r="B1" s="3" t="s">
        <v>125</v>
      </c>
      <c r="C1" s="4"/>
      <c r="D1" s="3" t="s">
        <v>126</v>
      </c>
    </row>
    <row r="2" spans="1:4" x14ac:dyDescent="0.25">
      <c r="A2" s="3"/>
      <c r="B2" s="3" t="s">
        <v>127</v>
      </c>
      <c r="C2" s="4"/>
      <c r="D2" s="3" t="s">
        <v>126</v>
      </c>
    </row>
    <row r="3" spans="1:4" x14ac:dyDescent="0.25">
      <c r="A3" s="3"/>
      <c r="B3" s="3" t="s">
        <v>128</v>
      </c>
      <c r="C3" s="4"/>
      <c r="D3" s="3" t="s">
        <v>126</v>
      </c>
    </row>
    <row r="4" spans="1:4" x14ac:dyDescent="0.25">
      <c r="A4" s="3"/>
      <c r="B4" s="3"/>
      <c r="C4" s="3"/>
      <c r="D4" s="3"/>
    </row>
    <row r="5" spans="1:4" x14ac:dyDescent="0.25">
      <c r="A5" s="3" t="s">
        <v>129</v>
      </c>
      <c r="B5" s="3" t="s">
        <v>9</v>
      </c>
      <c r="C5" s="15">
        <f>ABS(C2/2)</f>
        <v>0</v>
      </c>
      <c r="D5" s="3" t="s">
        <v>126</v>
      </c>
    </row>
    <row r="6" spans="1:4" x14ac:dyDescent="0.25">
      <c r="A6" s="3"/>
      <c r="B6" s="3" t="s">
        <v>130</v>
      </c>
      <c r="C6" s="15">
        <f>ABS(C1/2)</f>
        <v>0</v>
      </c>
      <c r="D6" s="3" t="s">
        <v>126</v>
      </c>
    </row>
    <row r="7" spans="1:4" x14ac:dyDescent="0.25">
      <c r="A7" s="3"/>
      <c r="B7" s="3" t="s">
        <v>61</v>
      </c>
      <c r="C7" s="15">
        <f>SQRT(((C1-C2)/2)^2+C3^2)</f>
        <v>0</v>
      </c>
      <c r="D7" s="3" t="s">
        <v>126</v>
      </c>
    </row>
    <row r="8" spans="1:4" x14ac:dyDescent="0.25">
      <c r="A8" s="3"/>
      <c r="B8" s="3"/>
      <c r="C8" s="3"/>
      <c r="D8" s="3"/>
    </row>
    <row r="9" spans="1:4" x14ac:dyDescent="0.25">
      <c r="A9" s="3" t="s">
        <v>131</v>
      </c>
      <c r="B9" s="3" t="s">
        <v>9</v>
      </c>
      <c r="C9" s="15">
        <f>ABS(C2)</f>
        <v>0</v>
      </c>
      <c r="D9" s="3" t="s">
        <v>126</v>
      </c>
    </row>
    <row r="10" spans="1:4" x14ac:dyDescent="0.25">
      <c r="A10" s="3"/>
      <c r="B10" s="3" t="s">
        <v>130</v>
      </c>
      <c r="C10" s="15">
        <f>ABS(C1)</f>
        <v>0</v>
      </c>
      <c r="D10" s="3" t="s">
        <v>126</v>
      </c>
    </row>
    <row r="11" spans="1:4" x14ac:dyDescent="0.25">
      <c r="A11" s="3"/>
      <c r="B11" s="3" t="s">
        <v>61</v>
      </c>
      <c r="C11" s="15">
        <f>SQRT(C2^2-C2*C1+C1^2+3*C3^2)</f>
        <v>0</v>
      </c>
      <c r="D11" s="3" t="s">
        <v>126</v>
      </c>
    </row>
    <row r="12" spans="1:4" x14ac:dyDescent="0.25">
      <c r="A12" s="3"/>
      <c r="B12" s="3"/>
      <c r="C12" s="3"/>
      <c r="D12" s="3"/>
    </row>
    <row r="13" spans="1:4" x14ac:dyDescent="0.25">
      <c r="A13" s="3" t="s">
        <v>132</v>
      </c>
      <c r="B13" s="3" t="s">
        <v>129</v>
      </c>
      <c r="C13" s="16">
        <f>MAX(C5:C7)</f>
        <v>0</v>
      </c>
      <c r="D13" s="3" t="s">
        <v>126</v>
      </c>
    </row>
    <row r="14" spans="1:4" x14ac:dyDescent="0.25">
      <c r="A14" s="3"/>
      <c r="B14" s="3" t="s">
        <v>133</v>
      </c>
      <c r="C14" s="16" t="e">
        <f>250/(C13*2)</f>
        <v>#DIV/0!</v>
      </c>
      <c r="D14" s="3"/>
    </row>
    <row r="15" spans="1:4" x14ac:dyDescent="0.25">
      <c r="A15" s="3"/>
      <c r="B15" s="3" t="s">
        <v>134</v>
      </c>
      <c r="C15" s="16">
        <f>MAX(C9:C11)</f>
        <v>0</v>
      </c>
      <c r="D15" s="3" t="s">
        <v>126</v>
      </c>
    </row>
    <row r="16" spans="1:4" x14ac:dyDescent="0.25">
      <c r="A16" s="3"/>
      <c r="B16" s="3" t="s">
        <v>133</v>
      </c>
      <c r="C16" s="16" t="e">
        <f>250/C15</f>
        <v>#DIV/0!</v>
      </c>
      <c r="D16" s="3"/>
    </row>
  </sheetData>
  <conditionalFormatting sqref="C5:C7">
    <cfRule type="cellIs" dxfId="4" priority="1" operator="greaterThan">
      <formula>"250/2"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20958-9505-45E3-BA91-9CEB5D2688DF}">
  <sheetPr codeName="Sheet8"/>
  <dimension ref="A1:D20"/>
  <sheetViews>
    <sheetView workbookViewId="0">
      <selection activeCell="C2" sqref="C2:C6"/>
    </sheetView>
  </sheetViews>
  <sheetFormatPr defaultRowHeight="15" x14ac:dyDescent="0.25"/>
  <cols>
    <col min="1" max="1" width="10.28515625" bestFit="1" customWidth="1"/>
  </cols>
  <sheetData>
    <row r="1" spans="1:4" x14ac:dyDescent="0.25">
      <c r="A1" s="3"/>
      <c r="B1" s="3"/>
      <c r="C1" s="3"/>
      <c r="D1" s="3"/>
    </row>
    <row r="2" spans="1:4" x14ac:dyDescent="0.25">
      <c r="A2" s="3" t="s">
        <v>124</v>
      </c>
      <c r="B2" s="3" t="s">
        <v>103</v>
      </c>
      <c r="C2" s="4"/>
      <c r="D2" s="3" t="s">
        <v>135</v>
      </c>
    </row>
    <row r="3" spans="1:4" x14ac:dyDescent="0.25">
      <c r="A3" s="3"/>
      <c r="B3" s="3" t="s">
        <v>136</v>
      </c>
      <c r="C3" s="4"/>
      <c r="D3" s="3" t="s">
        <v>137</v>
      </c>
    </row>
    <row r="4" spans="1:4" x14ac:dyDescent="0.25">
      <c r="A4" s="3"/>
      <c r="B4" s="3" t="s">
        <v>138</v>
      </c>
      <c r="C4" s="4"/>
      <c r="D4" s="3" t="s">
        <v>137</v>
      </c>
    </row>
    <row r="5" spans="1:4" x14ac:dyDescent="0.25">
      <c r="A5" s="3"/>
      <c r="B5" s="3" t="s">
        <v>139</v>
      </c>
      <c r="C5" s="4"/>
      <c r="D5" s="3" t="s">
        <v>137</v>
      </c>
    </row>
    <row r="6" spans="1:4" x14ac:dyDescent="0.25">
      <c r="A6" s="3"/>
      <c r="B6" s="3" t="s">
        <v>140</v>
      </c>
      <c r="C6" s="4"/>
      <c r="D6" s="3" t="s">
        <v>137</v>
      </c>
    </row>
    <row r="7" spans="1:4" x14ac:dyDescent="0.25">
      <c r="A7" s="3"/>
      <c r="B7" s="3"/>
      <c r="C7" s="3"/>
      <c r="D7" s="3"/>
    </row>
    <row r="8" spans="1:4" x14ac:dyDescent="0.25">
      <c r="A8" s="3" t="s">
        <v>141</v>
      </c>
      <c r="B8" s="3" t="s">
        <v>73</v>
      </c>
      <c r="C8" s="15">
        <f>C2*C4/1000</f>
        <v>0</v>
      </c>
      <c r="D8" s="3" t="s">
        <v>142</v>
      </c>
    </row>
    <row r="9" spans="1:4" x14ac:dyDescent="0.25">
      <c r="A9" s="3"/>
      <c r="B9" s="3" t="s">
        <v>107</v>
      </c>
      <c r="C9" s="15">
        <f>C2*(C6/1000)</f>
        <v>0</v>
      </c>
      <c r="D9" s="3" t="s">
        <v>142</v>
      </c>
    </row>
    <row r="10" spans="1:4" x14ac:dyDescent="0.25">
      <c r="A10" s="3"/>
      <c r="B10" s="3" t="s">
        <v>15</v>
      </c>
      <c r="C10" s="15">
        <f>PI()/4*((C3/1000)/2)^4</f>
        <v>0</v>
      </c>
      <c r="D10" s="3" t="s">
        <v>143</v>
      </c>
    </row>
    <row r="11" spans="1:4" x14ac:dyDescent="0.25">
      <c r="A11" s="3"/>
      <c r="B11" s="3" t="s">
        <v>30</v>
      </c>
      <c r="C11" s="15">
        <f>C10*2</f>
        <v>0</v>
      </c>
      <c r="D11" s="3" t="s">
        <v>143</v>
      </c>
    </row>
    <row r="12" spans="1:4" x14ac:dyDescent="0.25">
      <c r="A12" s="3"/>
      <c r="B12" s="3" t="s">
        <v>79</v>
      </c>
      <c r="C12" s="15">
        <f>2/3*((C3/1000)/2)^3</f>
        <v>0</v>
      </c>
      <c r="D12" s="3" t="s">
        <v>144</v>
      </c>
    </row>
    <row r="13" spans="1:4" x14ac:dyDescent="0.25">
      <c r="A13" s="3"/>
      <c r="B13" s="3"/>
      <c r="C13" s="3"/>
      <c r="D13" s="3"/>
    </row>
    <row r="14" spans="1:4" x14ac:dyDescent="0.25">
      <c r="A14" s="3" t="s">
        <v>145</v>
      </c>
      <c r="B14" s="3" t="s">
        <v>31</v>
      </c>
      <c r="C14" s="16">
        <v>0</v>
      </c>
      <c r="D14" s="3" t="s">
        <v>126</v>
      </c>
    </row>
    <row r="15" spans="1:4" x14ac:dyDescent="0.25">
      <c r="A15" s="3"/>
      <c r="B15" s="3" t="s">
        <v>32</v>
      </c>
      <c r="C15" s="16">
        <v>0</v>
      </c>
      <c r="D15" s="3" t="s">
        <v>126</v>
      </c>
    </row>
    <row r="16" spans="1:4" x14ac:dyDescent="0.25">
      <c r="A16" s="3"/>
      <c r="B16" s="3" t="s">
        <v>38</v>
      </c>
      <c r="C16" s="16" t="e">
        <f>C20+(C2*C12/(C10*C3/1000))/10^6</f>
        <v>#DIV/0!</v>
      </c>
      <c r="D16" s="3" t="s">
        <v>126</v>
      </c>
    </row>
    <row r="17" spans="1:4" x14ac:dyDescent="0.25">
      <c r="A17" s="3"/>
      <c r="B17" s="3"/>
      <c r="C17" s="3"/>
      <c r="D17" s="3"/>
    </row>
    <row r="18" spans="1:4" x14ac:dyDescent="0.25">
      <c r="A18" s="3" t="s">
        <v>146</v>
      </c>
      <c r="B18" s="3" t="s">
        <v>31</v>
      </c>
      <c r="C18" s="16" t="e">
        <f>(C8*(C3/1000/2)/C10)/10^6</f>
        <v>#DIV/0!</v>
      </c>
      <c r="D18" s="3" t="s">
        <v>126</v>
      </c>
    </row>
    <row r="19" spans="1:4" x14ac:dyDescent="0.25">
      <c r="A19" s="3"/>
      <c r="B19" s="3" t="s">
        <v>32</v>
      </c>
      <c r="C19" s="16">
        <v>0</v>
      </c>
      <c r="D19" s="3" t="s">
        <v>126</v>
      </c>
    </row>
    <row r="20" spans="1:4" x14ac:dyDescent="0.25">
      <c r="A20" s="3"/>
      <c r="B20" s="3" t="s">
        <v>38</v>
      </c>
      <c r="C20" s="16" t="e">
        <f>(C9*(C3/1000/2)/C11)/10^6</f>
        <v>#DIV/0!</v>
      </c>
      <c r="D20" s="3" t="s">
        <v>126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E5A67-C746-4367-887A-B744C089D389}">
  <sheetPr codeName="Sheet9"/>
  <dimension ref="A1:I26"/>
  <sheetViews>
    <sheetView workbookViewId="0">
      <selection activeCell="C9" sqref="C9"/>
    </sheetView>
  </sheetViews>
  <sheetFormatPr defaultRowHeight="15" x14ac:dyDescent="0.25"/>
  <cols>
    <col min="1" max="1" width="9.7109375" style="17" customWidth="1"/>
    <col min="2" max="2" width="11.140625" style="17" bestFit="1" customWidth="1"/>
    <col min="3" max="3" width="9.42578125" style="17" customWidth="1"/>
    <col min="4" max="4" width="7" style="17" customWidth="1"/>
    <col min="5" max="16384" width="9.140625" style="17"/>
  </cols>
  <sheetData>
    <row r="1" spans="1:9" ht="15.75" thickBot="1" x14ac:dyDescent="0.3">
      <c r="B1" s="18" t="s">
        <v>87</v>
      </c>
      <c r="C1" s="19" t="s">
        <v>88</v>
      </c>
      <c r="D1" s="20" t="s">
        <v>89</v>
      </c>
      <c r="F1" s="21" t="s">
        <v>90</v>
      </c>
      <c r="G1" s="22" t="s">
        <v>91</v>
      </c>
      <c r="H1" s="22" t="s">
        <v>68</v>
      </c>
      <c r="I1" s="23" t="s">
        <v>92</v>
      </c>
    </row>
    <row r="2" spans="1:9" ht="18.75" customHeight="1" x14ac:dyDescent="0.25">
      <c r="A2" s="59" t="s">
        <v>63</v>
      </c>
      <c r="B2" s="24" t="s">
        <v>93</v>
      </c>
      <c r="C2" s="25"/>
      <c r="D2" s="26" t="s">
        <v>64</v>
      </c>
      <c r="F2" s="27" t="s">
        <v>94</v>
      </c>
      <c r="G2" s="28">
        <v>0.40500000000000003</v>
      </c>
      <c r="H2" s="28">
        <v>6.8000000000000005E-2</v>
      </c>
      <c r="I2" s="29">
        <f>G2-2*H2</f>
        <v>0.26900000000000002</v>
      </c>
    </row>
    <row r="3" spans="1:9" ht="18.75" customHeight="1" x14ac:dyDescent="0.25">
      <c r="A3" s="57"/>
      <c r="B3" s="30" t="s">
        <v>95</v>
      </c>
      <c r="C3" s="31"/>
      <c r="D3" s="32" t="s">
        <v>64</v>
      </c>
      <c r="F3" s="33" t="s">
        <v>96</v>
      </c>
      <c r="G3" s="34">
        <v>0.54</v>
      </c>
      <c r="H3" s="34">
        <v>8.7999999999999995E-2</v>
      </c>
      <c r="I3" s="35">
        <f t="shared" ref="I3:I10" si="0">G3-2*H3</f>
        <v>0.36400000000000005</v>
      </c>
    </row>
    <row r="4" spans="1:9" ht="18.75" customHeight="1" x14ac:dyDescent="0.25">
      <c r="A4" s="57"/>
      <c r="B4" s="30" t="s">
        <v>90</v>
      </c>
      <c r="C4" s="31"/>
      <c r="D4" s="32" t="s">
        <v>64</v>
      </c>
      <c r="F4" s="33" t="s">
        <v>98</v>
      </c>
      <c r="G4" s="34">
        <v>0.67500000000000004</v>
      </c>
      <c r="H4" s="34">
        <v>9.0999999999999998E-2</v>
      </c>
      <c r="I4" s="35">
        <f t="shared" si="0"/>
        <v>0.49300000000000005</v>
      </c>
    </row>
    <row r="5" spans="1:9" ht="18.75" customHeight="1" x14ac:dyDescent="0.25">
      <c r="A5" s="57"/>
      <c r="B5" s="30" t="s">
        <v>91</v>
      </c>
      <c r="C5" s="30" t="e">
        <f>VLOOKUP(C4,F2:I10,2,FALSE)</f>
        <v>#N/A</v>
      </c>
      <c r="D5" s="32" t="s">
        <v>64</v>
      </c>
      <c r="F5" s="33" t="s">
        <v>97</v>
      </c>
      <c r="G5" s="34">
        <v>0.84</v>
      </c>
      <c r="H5" s="34">
        <v>0.109</v>
      </c>
      <c r="I5" s="35">
        <f t="shared" si="0"/>
        <v>0.622</v>
      </c>
    </row>
    <row r="6" spans="1:9" ht="18.75" customHeight="1" x14ac:dyDescent="0.25">
      <c r="A6" s="57"/>
      <c r="B6" s="30" t="s">
        <v>92</v>
      </c>
      <c r="C6" s="30" t="e">
        <f>VLOOKUP(C4,F2:I10,4,FALSE)</f>
        <v>#N/A</v>
      </c>
      <c r="D6" s="32" t="s">
        <v>64</v>
      </c>
      <c r="F6" s="33" t="s">
        <v>99</v>
      </c>
      <c r="G6" s="34">
        <v>1.05</v>
      </c>
      <c r="H6" s="34">
        <v>0.113</v>
      </c>
      <c r="I6" s="35">
        <f t="shared" si="0"/>
        <v>0.82400000000000007</v>
      </c>
    </row>
    <row r="7" spans="1:9" ht="18.75" customHeight="1" x14ac:dyDescent="0.25">
      <c r="A7" s="57"/>
      <c r="B7" s="30" t="s">
        <v>15</v>
      </c>
      <c r="C7" s="30" t="e">
        <f>0.25*PI()*((C5/2)^4-(C6/2)^4)</f>
        <v>#N/A</v>
      </c>
      <c r="D7" s="32" t="s">
        <v>77</v>
      </c>
      <c r="F7" s="33" t="s">
        <v>100</v>
      </c>
      <c r="G7" s="34">
        <v>1.3149999999999999</v>
      </c>
      <c r="H7" s="34">
        <v>0.13300000000000001</v>
      </c>
      <c r="I7" s="35">
        <f t="shared" si="0"/>
        <v>1.0489999999999999</v>
      </c>
    </row>
    <row r="8" spans="1:9" ht="18.75" customHeight="1" x14ac:dyDescent="0.25">
      <c r="A8" s="57"/>
      <c r="B8" s="30" t="s">
        <v>30</v>
      </c>
      <c r="C8" s="30" t="e">
        <f>2*C7</f>
        <v>#N/A</v>
      </c>
      <c r="D8" s="32" t="s">
        <v>77</v>
      </c>
      <c r="F8" s="33" t="s">
        <v>101</v>
      </c>
      <c r="G8" s="34">
        <v>1.66</v>
      </c>
      <c r="H8" s="34">
        <v>0.14000000000000001</v>
      </c>
      <c r="I8" s="35">
        <f t="shared" si="0"/>
        <v>1.38</v>
      </c>
    </row>
    <row r="9" spans="1:9" ht="18.75" customHeight="1" x14ac:dyDescent="0.25">
      <c r="A9" s="57" t="s">
        <v>102</v>
      </c>
      <c r="B9" s="30" t="s">
        <v>103</v>
      </c>
      <c r="C9" s="31"/>
      <c r="D9" s="32" t="s">
        <v>104</v>
      </c>
      <c r="F9" s="33" t="s">
        <v>105</v>
      </c>
      <c r="G9" s="34">
        <v>1.9</v>
      </c>
      <c r="H9" s="34">
        <v>0.14499999999999999</v>
      </c>
      <c r="I9" s="35">
        <f t="shared" si="0"/>
        <v>1.6099999999999999</v>
      </c>
    </row>
    <row r="10" spans="1:9" ht="15.75" thickBot="1" x14ac:dyDescent="0.3">
      <c r="A10" s="57"/>
      <c r="B10" s="30" t="s">
        <v>73</v>
      </c>
      <c r="C10" s="30">
        <f>C9*C2</f>
        <v>0</v>
      </c>
      <c r="D10" s="32" t="s">
        <v>74</v>
      </c>
      <c r="F10" s="36" t="s">
        <v>106</v>
      </c>
      <c r="G10" s="37">
        <v>2.375</v>
      </c>
      <c r="H10" s="37">
        <v>0.154</v>
      </c>
      <c r="I10" s="38">
        <f t="shared" si="0"/>
        <v>2.0670000000000002</v>
      </c>
    </row>
    <row r="11" spans="1:9" ht="18.75" customHeight="1" x14ac:dyDescent="0.25">
      <c r="A11" s="57"/>
      <c r="B11" s="30" t="s">
        <v>107</v>
      </c>
      <c r="C11" s="30">
        <f>C9*C3</f>
        <v>0</v>
      </c>
      <c r="D11" s="32" t="s">
        <v>74</v>
      </c>
    </row>
    <row r="12" spans="1:9" ht="18.75" customHeight="1" x14ac:dyDescent="0.25">
      <c r="A12" s="57" t="s">
        <v>108</v>
      </c>
      <c r="B12" s="30" t="s">
        <v>37</v>
      </c>
      <c r="C12" s="30" t="e">
        <f>C10*(C5/2)/C7</f>
        <v>#N/A</v>
      </c>
      <c r="D12" s="32" t="s">
        <v>82</v>
      </c>
    </row>
    <row r="13" spans="1:9" ht="18.75" customHeight="1" x14ac:dyDescent="0.25">
      <c r="A13" s="57"/>
      <c r="B13" s="30" t="s">
        <v>38</v>
      </c>
      <c r="C13" s="30" t="e">
        <f>C11*(C5/2)/C8</f>
        <v>#N/A</v>
      </c>
      <c r="D13" s="32" t="s">
        <v>82</v>
      </c>
    </row>
    <row r="14" spans="1:9" ht="18.75" customHeight="1" x14ac:dyDescent="0.25">
      <c r="A14" s="57" t="s">
        <v>109</v>
      </c>
      <c r="B14" s="30" t="s">
        <v>110</v>
      </c>
      <c r="C14" s="30" t="e">
        <f>C12/2</f>
        <v>#N/A</v>
      </c>
      <c r="D14" s="32" t="s">
        <v>82</v>
      </c>
    </row>
    <row r="15" spans="1:9" ht="18.75" customHeight="1" x14ac:dyDescent="0.25">
      <c r="A15" s="57"/>
      <c r="B15" s="30" t="s">
        <v>111</v>
      </c>
      <c r="C15" s="30" t="e">
        <f>SQRT(C13^2+C14^2)</f>
        <v>#N/A</v>
      </c>
      <c r="D15" s="32" t="s">
        <v>82</v>
      </c>
    </row>
    <row r="16" spans="1:9" ht="18.75" customHeight="1" x14ac:dyDescent="0.25">
      <c r="A16" s="57" t="s">
        <v>112</v>
      </c>
      <c r="B16" s="30" t="s">
        <v>113</v>
      </c>
      <c r="C16" s="39" t="e">
        <f>C14+C15</f>
        <v>#N/A</v>
      </c>
      <c r="D16" s="32" t="s">
        <v>82</v>
      </c>
    </row>
    <row r="17" spans="1:4" ht="18.75" customHeight="1" x14ac:dyDescent="0.25">
      <c r="A17" s="57"/>
      <c r="B17" s="30" t="s">
        <v>114</v>
      </c>
      <c r="C17" s="39" t="e">
        <f>C14-C15</f>
        <v>#N/A</v>
      </c>
      <c r="D17" s="32" t="s">
        <v>82</v>
      </c>
    </row>
    <row r="18" spans="1:4" ht="18.75" customHeight="1" x14ac:dyDescent="0.25">
      <c r="A18" s="57"/>
      <c r="B18" s="40" t="s">
        <v>115</v>
      </c>
      <c r="C18" s="30" t="e">
        <f>DEGREES(ATAN(C13/C14))</f>
        <v>#N/A</v>
      </c>
      <c r="D18" s="32" t="s">
        <v>116</v>
      </c>
    </row>
    <row r="19" spans="1:4" ht="18.75" customHeight="1" x14ac:dyDescent="0.25">
      <c r="A19" s="57"/>
      <c r="B19" s="40" t="s">
        <v>117</v>
      </c>
      <c r="C19" s="30" t="e">
        <f>C18/2</f>
        <v>#N/A</v>
      </c>
      <c r="D19" s="32" t="s">
        <v>116</v>
      </c>
    </row>
    <row r="20" spans="1:4" ht="18.75" customHeight="1" x14ac:dyDescent="0.25">
      <c r="A20" s="57" t="s">
        <v>118</v>
      </c>
      <c r="B20" s="40" t="s">
        <v>119</v>
      </c>
      <c r="C20" s="41" t="e">
        <f>C15</f>
        <v>#N/A</v>
      </c>
      <c r="D20" s="32" t="s">
        <v>82</v>
      </c>
    </row>
    <row r="21" spans="1:4" ht="18.75" customHeight="1" x14ac:dyDescent="0.25">
      <c r="A21" s="57"/>
      <c r="B21" s="40" t="s">
        <v>115</v>
      </c>
      <c r="C21" s="30" t="e">
        <f>90-C18</f>
        <v>#N/A</v>
      </c>
      <c r="D21" s="32" t="s">
        <v>116</v>
      </c>
    </row>
    <row r="22" spans="1:4" ht="18.75" customHeight="1" x14ac:dyDescent="0.25">
      <c r="A22" s="57"/>
      <c r="B22" s="40" t="s">
        <v>117</v>
      </c>
      <c r="C22" s="30" t="e">
        <f>C21/2</f>
        <v>#N/A</v>
      </c>
      <c r="D22" s="32" t="s">
        <v>116</v>
      </c>
    </row>
    <row r="23" spans="1:4" ht="18.75" customHeight="1" x14ac:dyDescent="0.25">
      <c r="A23" s="57" t="s">
        <v>120</v>
      </c>
      <c r="B23" s="30" t="s">
        <v>32</v>
      </c>
      <c r="C23" s="31">
        <v>36000</v>
      </c>
      <c r="D23" s="32" t="s">
        <v>82</v>
      </c>
    </row>
    <row r="24" spans="1:4" ht="18.75" customHeight="1" x14ac:dyDescent="0.25">
      <c r="A24" s="57"/>
      <c r="B24" s="30" t="s">
        <v>121</v>
      </c>
      <c r="C24" s="31">
        <v>2</v>
      </c>
      <c r="D24" s="32"/>
    </row>
    <row r="25" spans="1:4" ht="18.75" customHeight="1" x14ac:dyDescent="0.25">
      <c r="A25" s="57"/>
      <c r="B25" s="30" t="s">
        <v>122</v>
      </c>
      <c r="C25" s="30">
        <f>C23/C24</f>
        <v>18000</v>
      </c>
      <c r="D25" s="32" t="s">
        <v>82</v>
      </c>
    </row>
    <row r="26" spans="1:4" ht="15.75" thickBot="1" x14ac:dyDescent="0.3">
      <c r="A26" s="58"/>
      <c r="B26" s="42" t="s">
        <v>123</v>
      </c>
      <c r="C26" s="42">
        <f>C25/2</f>
        <v>9000</v>
      </c>
      <c r="D26" s="43" t="s">
        <v>82</v>
      </c>
    </row>
  </sheetData>
  <mergeCells count="7">
    <mergeCell ref="A23:A26"/>
    <mergeCell ref="A2:A8"/>
    <mergeCell ref="A9:A11"/>
    <mergeCell ref="A12:A13"/>
    <mergeCell ref="A14:A15"/>
    <mergeCell ref="A16:A19"/>
    <mergeCell ref="A20:A22"/>
  </mergeCells>
  <conditionalFormatting sqref="C16:C17">
    <cfRule type="cellIs" dxfId="3" priority="2" operator="lessThan">
      <formula>$C$25</formula>
    </cfRule>
  </conditionalFormatting>
  <conditionalFormatting sqref="C20">
    <cfRule type="cellIs" dxfId="2" priority="1" operator="lessThan">
      <formula>$C$26</formula>
    </cfRule>
  </conditionalFormatting>
  <dataValidations count="1">
    <dataValidation type="list" allowBlank="1" showInputMessage="1" showErrorMessage="1" sqref="C4" xr:uid="{60C58B3E-497D-4B5F-9FDA-39637D0E97FB}">
      <formula1>$F$2:$F$10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E52B3-1725-41C3-9040-D9B1DD798724}">
  <sheetPr codeName="Sheet10"/>
  <dimension ref="A1:B11"/>
  <sheetViews>
    <sheetView workbookViewId="0">
      <selection activeCell="C16" sqref="C16"/>
    </sheetView>
  </sheetViews>
  <sheetFormatPr defaultRowHeight="15" x14ac:dyDescent="0.25"/>
  <sheetData>
    <row r="1" spans="1:2" x14ac:dyDescent="0.25">
      <c r="A1" s="3" t="s">
        <v>53</v>
      </c>
      <c r="B1" s="4">
        <v>2.02</v>
      </c>
    </row>
    <row r="2" spans="1:2" x14ac:dyDescent="0.25">
      <c r="A2" s="3" t="s">
        <v>54</v>
      </c>
      <c r="B2" s="4">
        <v>51</v>
      </c>
    </row>
    <row r="3" spans="1:2" x14ac:dyDescent="0.25">
      <c r="A3" s="3" t="s">
        <v>55</v>
      </c>
      <c r="B3" s="4">
        <v>40</v>
      </c>
    </row>
    <row r="4" spans="1:2" x14ac:dyDescent="0.25">
      <c r="A4" s="3"/>
      <c r="B4" s="3"/>
    </row>
    <row r="5" spans="1:2" x14ac:dyDescent="0.25">
      <c r="A5" s="3" t="s">
        <v>56</v>
      </c>
      <c r="B5" s="16">
        <f>ATAN(60/(B3-16.5))</f>
        <v>1.1974944359822377</v>
      </c>
    </row>
    <row r="6" spans="1:2" x14ac:dyDescent="0.25">
      <c r="A6" s="3" t="s">
        <v>57</v>
      </c>
      <c r="B6" s="16">
        <f>ATAN(14/24.2)</f>
        <v>0.52446993262612251</v>
      </c>
    </row>
    <row r="7" spans="1:2" x14ac:dyDescent="0.25">
      <c r="A7" s="3" t="s">
        <v>58</v>
      </c>
      <c r="B7" s="16">
        <f>(600*B2)/(SIN(B5)*B3)</f>
        <v>821.58392183939418</v>
      </c>
    </row>
    <row r="8" spans="1:2" x14ac:dyDescent="0.25">
      <c r="A8" s="3" t="s">
        <v>59</v>
      </c>
      <c r="B8" s="16">
        <f>600-B7*SIN(B5)</f>
        <v>-164.99999999999989</v>
      </c>
    </row>
    <row r="9" spans="1:2" x14ac:dyDescent="0.25">
      <c r="A9" s="3" t="s">
        <v>60</v>
      </c>
      <c r="B9" s="16">
        <f>B7*COS(B5)</f>
        <v>299.62499999999994</v>
      </c>
    </row>
    <row r="10" spans="1:2" x14ac:dyDescent="0.25">
      <c r="A10" s="3" t="s">
        <v>61</v>
      </c>
      <c r="B10" s="16">
        <f>SQRT(B8^2+B9^2)</f>
        <v>342.05283309015283</v>
      </c>
    </row>
    <row r="11" spans="1:2" x14ac:dyDescent="0.25">
      <c r="A11" s="3" t="s">
        <v>62</v>
      </c>
      <c r="B11" s="16">
        <f>(B9*60)/(SIN(B6)*24.2)</f>
        <v>1483.5059202356529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CCBCF-3F33-4F8B-9B07-6AE2E0251F19}">
  <sheetPr codeName="Sheet11"/>
  <dimension ref="A1:D46"/>
  <sheetViews>
    <sheetView workbookViewId="0">
      <selection activeCell="C4" sqref="C4:C5"/>
    </sheetView>
  </sheetViews>
  <sheetFormatPr defaultRowHeight="15" x14ac:dyDescent="0.25"/>
  <cols>
    <col min="1" max="1" width="13.7109375" bestFit="1" customWidth="1"/>
  </cols>
  <sheetData>
    <row r="1" spans="1:4" x14ac:dyDescent="0.25">
      <c r="A1" s="3" t="s">
        <v>63</v>
      </c>
      <c r="B1" s="3" t="s">
        <v>53</v>
      </c>
      <c r="C1" s="3">
        <v>2.02</v>
      </c>
      <c r="D1" s="3"/>
    </row>
    <row r="2" spans="1:4" x14ac:dyDescent="0.25">
      <c r="A2" s="3"/>
      <c r="B2" s="3" t="s">
        <v>54</v>
      </c>
      <c r="C2" s="4"/>
      <c r="D2" s="3" t="s">
        <v>64</v>
      </c>
    </row>
    <row r="3" spans="1:4" x14ac:dyDescent="0.25">
      <c r="A3" s="3"/>
      <c r="B3" s="3" t="s">
        <v>55</v>
      </c>
      <c r="C3" s="4"/>
      <c r="D3" s="3" t="s">
        <v>64</v>
      </c>
    </row>
    <row r="4" spans="1:4" x14ac:dyDescent="0.25">
      <c r="A4" s="3"/>
      <c r="B4" s="3" t="s">
        <v>56</v>
      </c>
      <c r="C4" s="15">
        <f>ATAN(60/(C3-16.5))</f>
        <v>-1.3024301158889897</v>
      </c>
      <c r="D4" s="3" t="s">
        <v>65</v>
      </c>
    </row>
    <row r="5" spans="1:4" x14ac:dyDescent="0.25">
      <c r="A5" s="3"/>
      <c r="B5" s="3" t="s">
        <v>57</v>
      </c>
      <c r="C5" s="15">
        <f>ATAN(14/24.2)</f>
        <v>0.52446993262612251</v>
      </c>
      <c r="D5" s="3" t="s">
        <v>65</v>
      </c>
    </row>
    <row r="6" spans="1:4" x14ac:dyDescent="0.25">
      <c r="A6" s="3"/>
      <c r="B6" s="3" t="s">
        <v>66</v>
      </c>
      <c r="C6" s="4"/>
      <c r="D6" s="3" t="s">
        <v>64</v>
      </c>
    </row>
    <row r="7" spans="1:4" x14ac:dyDescent="0.25">
      <c r="A7" s="3"/>
      <c r="B7" s="3" t="s">
        <v>67</v>
      </c>
      <c r="C7" s="4"/>
      <c r="D7" s="3" t="s">
        <v>64</v>
      </c>
    </row>
    <row r="8" spans="1:4" x14ac:dyDescent="0.25">
      <c r="A8" s="3"/>
      <c r="B8" s="3" t="s">
        <v>68</v>
      </c>
      <c r="C8" s="4"/>
      <c r="D8" s="3" t="s">
        <v>64</v>
      </c>
    </row>
    <row r="9" spans="1:4" x14ac:dyDescent="0.25">
      <c r="A9" s="3"/>
      <c r="B9" s="3" t="s">
        <v>69</v>
      </c>
      <c r="C9" s="4"/>
      <c r="D9" s="3"/>
    </row>
    <row r="11" spans="1:4" x14ac:dyDescent="0.25">
      <c r="A11" s="3" t="s">
        <v>70</v>
      </c>
      <c r="B11" s="3" t="s">
        <v>9</v>
      </c>
      <c r="C11" s="3">
        <f>C9</f>
        <v>0</v>
      </c>
      <c r="D11" s="3" t="s">
        <v>71</v>
      </c>
    </row>
    <row r="12" spans="1:4" x14ac:dyDescent="0.25">
      <c r="A12" s="3"/>
      <c r="B12" s="3" t="s">
        <v>58</v>
      </c>
      <c r="C12" s="3" t="e">
        <f>(C9*C2)/(SIN(C4)*C3)</f>
        <v>#DIV/0!</v>
      </c>
      <c r="D12" s="3" t="s">
        <v>71</v>
      </c>
    </row>
    <row r="13" spans="1:4" x14ac:dyDescent="0.25">
      <c r="A13" s="3"/>
      <c r="B13" s="3" t="s">
        <v>59</v>
      </c>
      <c r="C13" s="3" t="e">
        <f>C9-C12*SIN(C4)</f>
        <v>#DIV/0!</v>
      </c>
      <c r="D13" s="3" t="s">
        <v>71</v>
      </c>
    </row>
    <row r="14" spans="1:4" x14ac:dyDescent="0.25">
      <c r="A14" s="3"/>
      <c r="B14" s="3" t="s">
        <v>60</v>
      </c>
      <c r="C14" s="3" t="e">
        <f>C12*COS(C4)</f>
        <v>#DIV/0!</v>
      </c>
      <c r="D14" s="3" t="s">
        <v>71</v>
      </c>
    </row>
    <row r="15" spans="1:4" x14ac:dyDescent="0.25">
      <c r="A15" s="3"/>
      <c r="B15" s="3" t="s">
        <v>61</v>
      </c>
      <c r="C15" s="3" t="e">
        <f>SQRT(C13^2+C14^2)</f>
        <v>#DIV/0!</v>
      </c>
      <c r="D15" s="3" t="s">
        <v>71</v>
      </c>
    </row>
    <row r="16" spans="1:4" x14ac:dyDescent="0.25">
      <c r="A16" s="3"/>
      <c r="B16" s="3" t="s">
        <v>62</v>
      </c>
      <c r="C16" s="3" t="e">
        <f>(C14*60)/(SIN(C5)*24.2)</f>
        <v>#DIV/0!</v>
      </c>
      <c r="D16" s="3" t="s">
        <v>71</v>
      </c>
    </row>
    <row r="18" spans="1:4" x14ac:dyDescent="0.25">
      <c r="A18" s="3" t="s">
        <v>72</v>
      </c>
      <c r="B18" s="3" t="s">
        <v>73</v>
      </c>
      <c r="C18" s="3">
        <f>C9*(C2-C3)</f>
        <v>0</v>
      </c>
      <c r="D18" s="3" t="s">
        <v>74</v>
      </c>
    </row>
    <row r="19" spans="1:4" x14ac:dyDescent="0.25">
      <c r="A19" s="3"/>
      <c r="B19" s="3" t="s">
        <v>75</v>
      </c>
      <c r="C19" s="3">
        <f>C9</f>
        <v>0</v>
      </c>
      <c r="D19" s="3"/>
    </row>
    <row r="20" spans="1:4" x14ac:dyDescent="0.25">
      <c r="A20" s="3"/>
      <c r="B20" s="3" t="s">
        <v>76</v>
      </c>
      <c r="C20" s="3" t="e">
        <f>ABS(C13)</f>
        <v>#DIV/0!</v>
      </c>
      <c r="D20" s="3" t="s">
        <v>74</v>
      </c>
    </row>
    <row r="21" spans="1:4" x14ac:dyDescent="0.25">
      <c r="A21" s="3"/>
      <c r="B21" s="3" t="s">
        <v>15</v>
      </c>
      <c r="C21" s="3">
        <f>1/12*(C6*C7^3-((C6-2*C8)*(C7-2*C8)^3))</f>
        <v>0</v>
      </c>
      <c r="D21" s="3" t="s">
        <v>77</v>
      </c>
    </row>
    <row r="22" spans="1:4" x14ac:dyDescent="0.25">
      <c r="A22" s="3"/>
      <c r="B22" s="3" t="s">
        <v>30</v>
      </c>
      <c r="C22" s="3">
        <f>2*C21</f>
        <v>0</v>
      </c>
      <c r="D22" s="3" t="s">
        <v>78</v>
      </c>
    </row>
    <row r="23" spans="1:4" x14ac:dyDescent="0.25">
      <c r="A23" s="3"/>
      <c r="B23" s="3" t="s">
        <v>79</v>
      </c>
      <c r="C23" s="3">
        <f>((C6*C7)/2*C7/4)-((C6-2*C8)*(C7-2*C8)/2*(C7-2*C8)/4)</f>
        <v>0</v>
      </c>
      <c r="D23" s="3" t="s">
        <v>80</v>
      </c>
    </row>
    <row r="24" spans="1:4" x14ac:dyDescent="0.25">
      <c r="A24" s="3"/>
      <c r="B24" s="3" t="s">
        <v>81</v>
      </c>
      <c r="C24" s="3">
        <v>36000</v>
      </c>
      <c r="D24" s="3" t="s">
        <v>82</v>
      </c>
    </row>
    <row r="25" spans="1:4" x14ac:dyDescent="0.25">
      <c r="A25" s="3"/>
      <c r="B25" s="3" t="s">
        <v>83</v>
      </c>
      <c r="C25" s="3">
        <f>C24/2</f>
        <v>18000</v>
      </c>
      <c r="D25" s="3"/>
    </row>
    <row r="27" spans="1:4" x14ac:dyDescent="0.25">
      <c r="A27" s="3" t="s">
        <v>84</v>
      </c>
      <c r="B27" s="3">
        <v>7</v>
      </c>
      <c r="C27" s="3" t="e">
        <f>C18*(C7/2)/C21</f>
        <v>#DIV/0!</v>
      </c>
      <c r="D27" s="3" t="s">
        <v>82</v>
      </c>
    </row>
    <row r="28" spans="1:4" x14ac:dyDescent="0.25">
      <c r="A28" s="3"/>
      <c r="B28" s="3">
        <v>8</v>
      </c>
      <c r="C28" s="3">
        <v>0</v>
      </c>
      <c r="D28" s="3" t="s">
        <v>82</v>
      </c>
    </row>
    <row r="29" spans="1:4" x14ac:dyDescent="0.25">
      <c r="A29" s="3"/>
      <c r="B29" s="3">
        <v>9</v>
      </c>
      <c r="C29" s="3" t="e">
        <f>C18*(C7/2)/C21</f>
        <v>#DIV/0!</v>
      </c>
      <c r="D29" s="3" t="s">
        <v>82</v>
      </c>
    </row>
    <row r="30" spans="1:4" x14ac:dyDescent="0.25">
      <c r="A30" s="3"/>
      <c r="B30" s="3">
        <v>10</v>
      </c>
      <c r="C30" s="3" t="e">
        <f>C18*(C7/2)/C21+C14/(C6*C7-((C6-2*C8)*(C7-2*C8)))</f>
        <v>#DIV/0!</v>
      </c>
      <c r="D30" s="3" t="s">
        <v>82</v>
      </c>
    </row>
    <row r="31" spans="1:4" x14ac:dyDescent="0.25">
      <c r="A31" s="3"/>
      <c r="B31" s="3">
        <v>11</v>
      </c>
      <c r="C31" s="3" t="e">
        <f>C14/(C6*C7-((C6-2*C8)*(C7-2*C8)))</f>
        <v>#DIV/0!</v>
      </c>
      <c r="D31" s="3" t="s">
        <v>82</v>
      </c>
    </row>
    <row r="32" spans="1:4" x14ac:dyDescent="0.25">
      <c r="A32" s="3"/>
      <c r="B32" s="3">
        <v>12</v>
      </c>
      <c r="C32" s="3" t="e">
        <f>C18*(C7/2)/C21-C14/(C6*C7-((C6-2*C8)*(C7-2*C8)))</f>
        <v>#DIV/0!</v>
      </c>
      <c r="D32" s="3" t="s">
        <v>82</v>
      </c>
    </row>
    <row r="34" spans="1:4" x14ac:dyDescent="0.25">
      <c r="A34" s="3" t="s">
        <v>85</v>
      </c>
      <c r="B34" s="3">
        <v>7</v>
      </c>
      <c r="C34" s="3">
        <v>0</v>
      </c>
      <c r="D34" s="3" t="s">
        <v>82</v>
      </c>
    </row>
    <row r="35" spans="1:4" x14ac:dyDescent="0.25">
      <c r="A35" s="3"/>
      <c r="B35" s="3">
        <v>8</v>
      </c>
      <c r="C35" s="3" t="e">
        <f>C19*C23/(C21*2*C8)</f>
        <v>#DIV/0!</v>
      </c>
      <c r="D35" s="3" t="s">
        <v>82</v>
      </c>
    </row>
    <row r="36" spans="1:4" x14ac:dyDescent="0.25">
      <c r="A36" s="3"/>
      <c r="B36" s="3">
        <v>9</v>
      </c>
      <c r="C36" s="3">
        <v>0</v>
      </c>
      <c r="D36" s="3" t="s">
        <v>82</v>
      </c>
    </row>
    <row r="37" spans="1:4" x14ac:dyDescent="0.25">
      <c r="A37" s="3"/>
      <c r="B37" s="3">
        <v>10</v>
      </c>
      <c r="C37" s="3">
        <v>0</v>
      </c>
      <c r="D37" s="3" t="s">
        <v>82</v>
      </c>
    </row>
    <row r="38" spans="1:4" x14ac:dyDescent="0.25">
      <c r="A38" s="3"/>
      <c r="B38" s="3">
        <v>11</v>
      </c>
      <c r="C38" s="3" t="e">
        <f>C20*C23/(C21*2*C8)</f>
        <v>#DIV/0!</v>
      </c>
      <c r="D38" s="3" t="s">
        <v>82</v>
      </c>
    </row>
    <row r="39" spans="1:4" x14ac:dyDescent="0.25">
      <c r="A39" s="3"/>
      <c r="B39" s="3">
        <v>12</v>
      </c>
      <c r="C39" s="3">
        <v>0</v>
      </c>
      <c r="D39" s="3" t="s">
        <v>82</v>
      </c>
    </row>
    <row r="41" spans="1:4" x14ac:dyDescent="0.25">
      <c r="A41" s="3" t="s">
        <v>86</v>
      </c>
      <c r="B41" s="3">
        <v>7</v>
      </c>
      <c r="C41" s="3" t="e">
        <f>SQRT((C27/2)^2+C34^2)</f>
        <v>#DIV/0!</v>
      </c>
      <c r="D41" s="3" t="s">
        <v>82</v>
      </c>
    </row>
    <row r="42" spans="1:4" x14ac:dyDescent="0.25">
      <c r="A42" s="3"/>
      <c r="B42" s="3">
        <v>8</v>
      </c>
      <c r="C42" s="3" t="e">
        <f t="shared" ref="C42:C46" si="0">SQRT((C28/2)^2+C35^2)</f>
        <v>#DIV/0!</v>
      </c>
      <c r="D42" s="3" t="s">
        <v>82</v>
      </c>
    </row>
    <row r="43" spans="1:4" x14ac:dyDescent="0.25">
      <c r="A43" s="3"/>
      <c r="B43" s="3">
        <v>9</v>
      </c>
      <c r="C43" s="3" t="e">
        <f t="shared" si="0"/>
        <v>#DIV/0!</v>
      </c>
      <c r="D43" s="3" t="s">
        <v>82</v>
      </c>
    </row>
    <row r="44" spans="1:4" x14ac:dyDescent="0.25">
      <c r="A44" s="3"/>
      <c r="B44" s="3">
        <v>10</v>
      </c>
      <c r="C44" s="3" t="e">
        <f t="shared" si="0"/>
        <v>#DIV/0!</v>
      </c>
      <c r="D44" s="3" t="s">
        <v>82</v>
      </c>
    </row>
    <row r="45" spans="1:4" x14ac:dyDescent="0.25">
      <c r="A45" s="3"/>
      <c r="B45" s="3">
        <v>11</v>
      </c>
      <c r="C45" s="3" t="e">
        <f t="shared" si="0"/>
        <v>#DIV/0!</v>
      </c>
      <c r="D45" s="3" t="s">
        <v>82</v>
      </c>
    </row>
    <row r="46" spans="1:4" x14ac:dyDescent="0.25">
      <c r="A46" s="3"/>
      <c r="B46" s="3">
        <v>12</v>
      </c>
      <c r="C46" s="3" t="e">
        <f t="shared" si="0"/>
        <v>#DIV/0!</v>
      </c>
      <c r="D46" s="3" t="s">
        <v>82</v>
      </c>
    </row>
  </sheetData>
  <conditionalFormatting sqref="C27:C32">
    <cfRule type="cellIs" dxfId="1" priority="2" operator="greaterThan">
      <formula>$C$24</formula>
    </cfRule>
  </conditionalFormatting>
  <conditionalFormatting sqref="C41:C46">
    <cfRule type="cellIs" dxfId="0" priority="1" operator="greaterThan">
      <formula>$C$25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2D Mohr's Circle</vt:lpstr>
      <vt:lpstr>3D Mohr's Circle</vt:lpstr>
      <vt:lpstr>Centroids</vt:lpstr>
      <vt:lpstr>I (parallel axis)</vt:lpstr>
      <vt:lpstr>Press and shrink fit</vt:lpstr>
      <vt:lpstr>Contact Stresses</vt:lpstr>
      <vt:lpstr>Von Mesis</vt:lpstr>
      <vt:lpstr>Single load</vt:lpstr>
      <vt:lpstr>Stress in Pipes</vt:lpstr>
      <vt:lpstr>Hoist Joints</vt:lpstr>
      <vt:lpstr>Hoist internal stress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axlma</dc:creator>
  <cp:lastModifiedBy>axlma</cp:lastModifiedBy>
  <dcterms:created xsi:type="dcterms:W3CDTF">2019-01-14T21:42:53Z</dcterms:created>
  <dcterms:modified xsi:type="dcterms:W3CDTF">2019-01-29T17:14:09Z</dcterms:modified>
</cp:coreProperties>
</file>